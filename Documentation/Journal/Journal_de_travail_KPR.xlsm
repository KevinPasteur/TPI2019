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1" i="1" l="1"/>
  <c r="C44" i="1"/>
  <c r="C32" i="1"/>
  <c r="C22" i="1"/>
  <c r="C15" i="1"/>
</calcChain>
</file>

<file path=xl/sharedStrings.xml><?xml version="1.0" encoding="utf-8"?>
<sst xmlns="http://schemas.openxmlformats.org/spreadsheetml/2006/main" count="125" uniqueCount="72">
  <si>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</si>
  <si>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</si>
  <si>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</si>
  <si>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</si>
  <si>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</si>
  <si>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</si>
  <si>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</si>
  <si>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</si>
  <si>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</si>
  <si>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</si>
  <si>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</si>
  <si>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</si>
  <si>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</si>
  <si>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</si>
  <si>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</si>
  <si>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</si>
  <si>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</si>
  <si>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</si>
  <si>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</si>
  <si>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</si>
  <si>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</si>
  <si>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</si>
  <si>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Réflexion sur la forme du mail.</t>
  </si>
  <si>
    <t>Réalisation et fin de ma planification initiale.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</si>
  <si>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</si>
  <si>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</si>
  <si>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</si>
  <si>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</si>
  <si>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</si>
  <si>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</si>
  <si>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</si>
  <si>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</si>
  <si>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</si>
  <si>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Configuration du dépôt git.</t>
  </si>
  <si>
    <t>(vide)</t>
  </si>
  <si>
    <t>Bonne journée quelques soucis avec le dépôt mais résolu rapidement</t>
  </si>
  <si>
    <t>Modélisation</t>
  </si>
  <si>
    <t>Total d'heures journalier</t>
  </si>
  <si>
    <t xml:space="preserve">Recherche de différents sites de gestion d'inventaire. </t>
  </si>
  <si>
    <t>Bonne journée, rien à signaler de spécial</t>
  </si>
  <si>
    <t>Total d'heures journalières</t>
  </si>
  <si>
    <t>Autres</t>
  </si>
  <si>
    <t>Ajout de la partie objectifs et fonctionnalités dans mon rapport de projet.</t>
  </si>
  <si>
    <t>Aide Diego Sanchez pour l'utilisation de son dépôt GIT.</t>
  </si>
  <si>
    <t>Cela m'a permit d'être au clair avec certains points.</t>
  </si>
  <si>
    <t>Solutions retenues : GLPI, ServiceDesk PLUS, Snipe-IT.</t>
  </si>
  <si>
    <t>Différentes solutions s'offrent à moi (JSON, Javascript, API).</t>
  </si>
  <si>
    <t>Aide Joel Matias pour son dépôt bitbucket.</t>
  </si>
  <si>
    <t>Mise en place de la page connexion.</t>
  </si>
  <si>
    <t>Meeting avec M. Favre concernant le stock du laboratoire d'électronique, le cahier des charges et différents points et ma modélisation.</t>
  </si>
  <si>
    <t>Début de rédaction de l'analyse concurrentielle (GLPI et Service desk).</t>
  </si>
  <si>
    <t>Début de réalisation de la maquette connexion.</t>
  </si>
  <si>
    <t>Rédaction de l'analyse concurrentielle (Suite GLPI et Service desk, ajout de snipe-it).</t>
  </si>
  <si>
    <t>Recherche concernant la barre de recherche de matériel et consommable.</t>
  </si>
  <si>
    <t>Rédaction de la partie stratégie de tests.</t>
  </si>
  <si>
    <t>Réalisation des maquettes connexion et inscription.</t>
  </si>
  <si>
    <t>Rédaction de la partie dossier de conception.</t>
  </si>
  <si>
    <t>Réalisation des maquettes accueil et matériel.</t>
  </si>
  <si>
    <t>Rédaction de la charte graphique.</t>
  </si>
  <si>
    <t>Ajout de tâches dans le Trello.</t>
  </si>
  <si>
    <t>Rédaction de la partie choix de la formule d'hébergement.</t>
  </si>
  <si>
    <t>Début de rédaction de la conclusion de l'analyse.</t>
  </si>
  <si>
    <t>Review de la semaine avec Monsieur Favre</t>
  </si>
  <si>
    <t>Modification de mon MCD en modifiant les types des champs.</t>
  </si>
  <si>
    <t>Réalisation de mon MCD</t>
  </si>
  <si>
    <t>Modification de mon Trello afin d'ajouter des tests d'acceptations</t>
  </si>
  <si>
    <t>Meeting avec M. Favre concernant la planification et le journal de travail.</t>
  </si>
  <si>
    <t>Mise en forme de mon journal de travail.</t>
  </si>
  <si>
    <t>Réalisation de la maquette (Consommables)</t>
  </si>
  <si>
    <t>Réalisation des maquettes formulaires (Emprunt et octroi)</t>
  </si>
  <si>
    <t>Réalisation des maquettes de la partie administrateur</t>
  </si>
  <si>
    <t>Date modif: 14.05.2019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</si>
</sst>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</cellStyleXfs>
  <cellXfs count="5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4" fillId="0" borderId="6" xfId="0" applyFont="1" applyBorder="1"/>
    <xf numFmtId="0" fontId="4" fillId="0" borderId="12" xfId="0" applyFont="1" applyBorder="1"/>
    <xf numFmtId="0" fontId="4" fillId="0" borderId="12" xfId="0" applyFont="1" applyBorder="1" applyAlignment="1"/>
    <xf numFmtId="0" fontId="4" fillId="0" borderId="12" xfId="0" applyFont="1" applyBorder="1" applyAlignment="1">
      <alignment horizontal="left"/>
    </xf>
    <xf numFmtId="0" fontId="4" fillId="0" borderId="13" xfId="0" applyFont="1" applyBorder="1"/>
    <xf numFmtId="1" fontId="0" fillId="0" borderId="15" xfId="0" applyNumberFormat="1" applyBorder="1" applyAlignment="1" applyProtection="1">
      <alignment horizontal="center" vertical="center"/>
    </xf>
    <xf numFmtId="2" fontId="8" fillId="2" borderId="1" xfId="3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 wrapText="1"/>
      <protection locked="0"/>
    </xf>
    <xf numFmtId="2" fontId="8" fillId="2" borderId="5" xfId="3" applyNumberFormat="1" applyFill="1" applyAlignment="1" applyProtection="1">
      <alignment horizontal="center" vertical="center"/>
      <protection locked="0"/>
    </xf>
    <xf numFmtId="2" fontId="9" fillId="0" borderId="5" xfId="3" applyNumberFormat="1" applyFont="1" applyFill="1" applyAlignment="1" applyProtection="1">
      <alignment horizontal="center" vertical="center"/>
      <protection locked="0"/>
    </xf>
    <xf numFmtId="16" fontId="0" fillId="0" borderId="14" xfId="0" applyNumberFormat="1" applyBorder="1" applyAlignment="1" applyProtection="1">
      <alignment horizontal="center" vertical="center"/>
    </xf>
    <xf numFmtId="0" fontId="7" fillId="4" borderId="3" xfId="2" applyBorder="1" applyAlignment="1">
      <alignment vertical="center" wrapText="1"/>
    </xf>
    <xf numFmtId="0" fontId="7" fillId="4" borderId="4" xfId="2" applyBorder="1" applyAlignment="1">
      <alignment vertical="center" wrapText="1"/>
    </xf>
    <xf numFmtId="0" fontId="7" fillId="4" borderId="2" xfId="2" applyBorder="1" applyAlignment="1">
      <alignment horizontal="center" vertical="center" wrapText="1"/>
    </xf>
    <xf numFmtId="0" fontId="7" fillId="4" borderId="3" xfId="2" applyBorder="1" applyAlignment="1">
      <alignment horizontal="center" vertical="center" wrapText="1"/>
    </xf>
    <xf numFmtId="1" fontId="0" fillId="2" borderId="14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</cellXfs>
  <cellStyles count="4">
    <cellStyle name="Calcul" xfId="3" builtinId="22"/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19050</xdr:rowOff>
        </xdr:from>
        <xdr:to>
          <xdr:col>0</xdr:col>
          <xdr:colOff>990600</xdr:colOff>
          <xdr:row>12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686571412036" createdVersion="6" refreshedVersion="6" minRefreshableVersion="3" recordCount="25">
  <cacheSource type="worksheet">
    <worksheetSource ref="A6:E51" sheet="Journal"/>
  </cacheSource>
  <cacheFields count="5">
    <cacheField name="Jour" numFmtId="0">
      <sharedItems containsDate="1" containsBlank="1" containsMixedTypes="1" minDate="2019-05-07T00:00:00" maxDate="2019-05-10T00:00:00" count="5">
        <d v="2019-05-07T00:00:00"/>
        <s v="Total d'heures journalier"/>
        <d v="2019-05-08T00:00:00"/>
        <d v="2019-05-09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6.5"/>
    </cacheField>
    <cacheField name="Type" numFmtId="0">
      <sharedItems containsBlank="1" count="7">
        <s v="Meeting"/>
        <s v="Documentation"/>
        <s v="Discussion"/>
        <s v="Implémentation"/>
        <m/>
        <s v="Recherche"/>
        <s v="Modélisation"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m/>
    <n v="6.5"/>
    <x v="4"/>
    <m/>
  </r>
  <r>
    <x v="2"/>
    <n v="1"/>
    <n v="0.75"/>
    <x v="1"/>
    <s v="Mise en forme de mon journal de bord."/>
  </r>
  <r>
    <x v="2"/>
    <n v="1"/>
    <n v="0.5"/>
    <x v="3"/>
    <s v="Configuration du dépôt git."/>
  </r>
  <r>
    <x v="2"/>
    <n v="1"/>
    <n v="1.5"/>
    <x v="1"/>
    <s v="Réalisation de mon MCD et de mon MLD."/>
  </r>
  <r>
    <x v="2"/>
    <n v="1"/>
    <n v="0.5"/>
    <x v="5"/>
    <s v="Recherche d'un template sur internet."/>
  </r>
  <r>
    <x v="2"/>
    <n v="1"/>
    <n v="0.25"/>
    <x v="1"/>
    <s v="Modification de la planification initiale afin de faire apparaître mon nom et le nom du projet dans le document."/>
  </r>
  <r>
    <x v="2"/>
    <n v="1"/>
    <n v="0.5"/>
    <x v="1"/>
    <s v="Ajout de la partie planification initiale dans mon rapport de projet."/>
  </r>
  <r>
    <x v="1"/>
    <m/>
    <n v="4"/>
    <x v="4"/>
    <m/>
  </r>
  <r>
    <x v="3"/>
    <n v="1"/>
    <n v="1"/>
    <x v="1"/>
    <s v="Ajout de la partie objectifs et fonctionnalités dans mon rapport de projet"/>
  </r>
  <r>
    <x v="3"/>
    <n v="1"/>
    <n v="0.5"/>
    <x v="2"/>
    <s v="Aide Diego Sanchez pour l'utilisation de son dépôt GIT"/>
  </r>
  <r>
    <x v="3"/>
    <n v="1"/>
    <n v="1"/>
    <x v="6"/>
    <s v="Modification de mon MCD et de mon MLD en modifiant les types des champs"/>
  </r>
  <r>
    <x v="3"/>
    <n v="1"/>
    <n v="0.25"/>
    <x v="2"/>
    <s v="Aide Joel Matias pour son dépôt bitbucket"/>
  </r>
  <r>
    <x v="3"/>
    <n v="1"/>
    <n v="1"/>
    <x v="3"/>
    <s v="Mise en place de la page accueil "/>
  </r>
  <r>
    <x v="3"/>
    <n v="1"/>
    <n v="0.75"/>
    <x v="0"/>
    <s v="Meeting avec M. Favre concernant le stock du laboratoire d'électronique, le cahier des charges et différents points et ma modélisation"/>
  </r>
  <r>
    <x v="3"/>
    <n v="1"/>
    <n v="1"/>
    <x v="5"/>
    <s v="Recherche de différents sites de gestion d'inventaire. "/>
  </r>
  <r>
    <x v="3"/>
    <n v="1"/>
    <m/>
    <x v="4"/>
    <m/>
  </r>
  <r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I10" firstHeaderRow="1" firstDataRow="2" firstDataCol="1"/>
  <pivotFields count="5">
    <pivotField axis="axisRow" numFmtId="16" showAll="0">
      <items count="6">
        <item x="0"/>
        <item x="2"/>
        <item x="4"/>
        <item x="3"/>
        <item x="1"/>
        <item t="default"/>
      </items>
    </pivotField>
    <pivotField showAll="0"/>
    <pivotField dataField="1" showAll="0"/>
    <pivotField axis="axisCol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55"/>
  <sheetViews>
    <sheetView tabSelected="1" topLeftCell="A34" workbookViewId="0">
      <selection activeCell="D52" sqref="D52"/>
    </sheetView>
  </sheetViews>
  <sheetFormatPr baseColWidth="10" defaultColWidth="9.140625" defaultRowHeight="15" x14ac:dyDescent="0.25"/>
  <cols>
    <col min="1" max="1" width="10.7109375" style="8" customWidth="1"/>
    <col min="2" max="2" width="25.5703125" style="20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46" t="s">
        <v>17</v>
      </c>
      <c r="B1" s="47"/>
      <c r="C1" s="47"/>
      <c r="D1" s="47"/>
      <c r="E1" s="47"/>
      <c r="F1" s="47"/>
      <c r="G1" s="48"/>
    </row>
    <row r="2" spans="1:9" s="22" customFormat="1" ht="14.25" customHeight="1" x14ac:dyDescent="0.2">
      <c r="A2" s="49"/>
      <c r="B2" s="50"/>
      <c r="C2" s="50"/>
      <c r="D2" s="50"/>
      <c r="E2" s="50"/>
      <c r="F2" s="50"/>
      <c r="G2" s="51"/>
    </row>
    <row r="3" spans="1:9" s="22" customFormat="1" ht="25.15" customHeight="1" x14ac:dyDescent="0.2">
      <c r="A3" s="28"/>
      <c r="B3" s="29"/>
      <c r="C3" s="29"/>
      <c r="D3" s="30"/>
      <c r="E3" s="30" t="s">
        <v>15</v>
      </c>
      <c r="F3" s="31" t="s">
        <v>16</v>
      </c>
      <c r="G3" s="32" t="s">
        <v>71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26</v>
      </c>
      <c r="F7" s="14"/>
      <c r="G7" s="55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25</v>
      </c>
      <c r="F8" s="14"/>
      <c r="G8" s="56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24</v>
      </c>
      <c r="F9" s="14"/>
      <c r="G9" s="56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28</v>
      </c>
      <c r="F10" s="14"/>
      <c r="G10" s="56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56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66</v>
      </c>
      <c r="F12" s="14"/>
      <c r="G12" s="56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23</v>
      </c>
      <c r="F13" s="14"/>
      <c r="G13" s="56"/>
      <c r="I13" s="15"/>
    </row>
    <row r="14" spans="1:9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22</v>
      </c>
      <c r="F14" s="14"/>
      <c r="G14" s="56"/>
      <c r="I14" s="15"/>
    </row>
    <row r="15" spans="1:9" ht="27.75" customHeight="1" x14ac:dyDescent="0.25">
      <c r="A15" s="44" t="s">
        <v>40</v>
      </c>
      <c r="B15" s="45"/>
      <c r="C15" s="34">
        <f>SUM(C7:C14)</f>
        <v>6.5</v>
      </c>
      <c r="D15" s="35"/>
      <c r="E15" s="36"/>
      <c r="F15" s="36"/>
      <c r="G15" s="57"/>
      <c r="I15" s="15"/>
    </row>
    <row r="16" spans="1:9" ht="15" customHeight="1" x14ac:dyDescent="0.25">
      <c r="A16" s="7">
        <v>43593</v>
      </c>
      <c r="B16" s="19">
        <v>1</v>
      </c>
      <c r="C16" s="12">
        <v>0.75</v>
      </c>
      <c r="D16" s="13" t="s">
        <v>8</v>
      </c>
      <c r="E16" s="14" t="s">
        <v>67</v>
      </c>
      <c r="F16" s="14"/>
      <c r="G16" s="52" t="s">
        <v>35</v>
      </c>
      <c r="I16" s="15"/>
    </row>
    <row r="17" spans="1:9" ht="45" x14ac:dyDescent="0.25">
      <c r="A17" s="7">
        <v>43593</v>
      </c>
      <c r="B17" s="19">
        <v>1</v>
      </c>
      <c r="C17" s="12">
        <v>0.5</v>
      </c>
      <c r="D17" s="13" t="s">
        <v>6</v>
      </c>
      <c r="E17" s="14" t="s">
        <v>33</v>
      </c>
      <c r="F17" s="14" t="s">
        <v>29</v>
      </c>
      <c r="G17" s="53"/>
      <c r="I17" s="15"/>
    </row>
    <row r="18" spans="1:9" x14ac:dyDescent="0.25">
      <c r="A18" s="7">
        <v>43593</v>
      </c>
      <c r="B18" s="19">
        <v>1</v>
      </c>
      <c r="C18" s="12">
        <v>1.5</v>
      </c>
      <c r="D18" s="13" t="s">
        <v>8</v>
      </c>
      <c r="E18" s="14" t="s">
        <v>64</v>
      </c>
      <c r="F18" s="14"/>
      <c r="G18" s="53"/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27</v>
      </c>
      <c r="E19" s="14" t="s">
        <v>32</v>
      </c>
      <c r="F19" s="14"/>
      <c r="G19" s="53"/>
      <c r="I19" s="15"/>
    </row>
    <row r="20" spans="1:9" ht="30" x14ac:dyDescent="0.25">
      <c r="A20" s="7">
        <v>43593</v>
      </c>
      <c r="B20" s="19">
        <v>1</v>
      </c>
      <c r="C20" s="12">
        <v>0.25</v>
      </c>
      <c r="D20" s="13" t="s">
        <v>8</v>
      </c>
      <c r="E20" s="14" t="s">
        <v>31</v>
      </c>
      <c r="F20" s="14"/>
      <c r="G20" s="53"/>
      <c r="I20" s="15"/>
    </row>
    <row r="21" spans="1:9" x14ac:dyDescent="0.25">
      <c r="A21" s="7">
        <v>43593</v>
      </c>
      <c r="B21" s="19">
        <v>1</v>
      </c>
      <c r="C21" s="12">
        <v>0.5</v>
      </c>
      <c r="D21" s="13" t="s">
        <v>8</v>
      </c>
      <c r="E21" s="14" t="s">
        <v>30</v>
      </c>
      <c r="F21" s="14"/>
      <c r="G21" s="53"/>
      <c r="I21" s="15"/>
    </row>
    <row r="22" spans="1:9" ht="27" customHeight="1" x14ac:dyDescent="0.25">
      <c r="A22" s="44" t="s">
        <v>40</v>
      </c>
      <c r="B22" s="45"/>
      <c r="C22" s="37">
        <f>SUM(C16:C21)</f>
        <v>4</v>
      </c>
      <c r="D22" s="35"/>
      <c r="E22" s="36"/>
      <c r="F22" s="36"/>
      <c r="G22" s="54"/>
      <c r="I22" s="15"/>
    </row>
    <row r="23" spans="1:9" x14ac:dyDescent="0.25">
      <c r="A23" s="7">
        <v>43594</v>
      </c>
      <c r="B23" s="19">
        <v>1</v>
      </c>
      <c r="C23" s="12">
        <v>1</v>
      </c>
      <c r="D23" s="13" t="s">
        <v>8</v>
      </c>
      <c r="E23" s="14" t="s">
        <v>42</v>
      </c>
      <c r="F23" s="14"/>
      <c r="G23" s="42" t="s">
        <v>39</v>
      </c>
      <c r="I23" s="15"/>
    </row>
    <row r="24" spans="1:9" x14ac:dyDescent="0.25">
      <c r="A24" s="7">
        <v>43594</v>
      </c>
      <c r="B24" s="19">
        <v>1</v>
      </c>
      <c r="C24" s="12">
        <v>0.5</v>
      </c>
      <c r="D24" s="13" t="s">
        <v>18</v>
      </c>
      <c r="E24" s="14" t="s">
        <v>43</v>
      </c>
      <c r="F24" s="14"/>
      <c r="G24" s="43"/>
      <c r="I24" s="15"/>
    </row>
    <row r="25" spans="1:9" x14ac:dyDescent="0.25">
      <c r="A25" s="7">
        <v>43594</v>
      </c>
      <c r="B25" s="19">
        <v>1</v>
      </c>
      <c r="C25" s="12">
        <v>1</v>
      </c>
      <c r="D25" s="13" t="s">
        <v>36</v>
      </c>
      <c r="E25" s="14" t="s">
        <v>63</v>
      </c>
      <c r="F25" s="14"/>
      <c r="G25" s="43"/>
      <c r="I25" s="15"/>
    </row>
    <row r="26" spans="1:9" x14ac:dyDescent="0.25">
      <c r="A26" s="7">
        <v>43594</v>
      </c>
      <c r="B26" s="19">
        <v>1</v>
      </c>
      <c r="C26" s="12">
        <v>0.25</v>
      </c>
      <c r="D26" s="13" t="s">
        <v>18</v>
      </c>
      <c r="E26" s="14" t="s">
        <v>47</v>
      </c>
      <c r="F26" s="14"/>
      <c r="G26" s="43"/>
      <c r="I26" s="15"/>
    </row>
    <row r="27" spans="1:9" x14ac:dyDescent="0.25">
      <c r="A27" s="7">
        <v>43594</v>
      </c>
      <c r="B27" s="19">
        <v>1</v>
      </c>
      <c r="C27" s="12">
        <v>1</v>
      </c>
      <c r="D27" s="13" t="s">
        <v>6</v>
      </c>
      <c r="E27" s="14" t="s">
        <v>48</v>
      </c>
      <c r="F27" s="14"/>
      <c r="G27" s="43"/>
      <c r="I27" s="15"/>
    </row>
    <row r="28" spans="1:9" ht="30" x14ac:dyDescent="0.25">
      <c r="A28" s="7">
        <v>43594</v>
      </c>
      <c r="B28" s="19">
        <v>1</v>
      </c>
      <c r="C28" s="12">
        <v>0.75</v>
      </c>
      <c r="D28" s="13" t="s">
        <v>14</v>
      </c>
      <c r="E28" s="14" t="s">
        <v>49</v>
      </c>
      <c r="F28" s="14" t="s">
        <v>44</v>
      </c>
      <c r="G28" s="43"/>
      <c r="I28" s="15"/>
    </row>
    <row r="29" spans="1:9" x14ac:dyDescent="0.25">
      <c r="A29" s="7">
        <v>43594</v>
      </c>
      <c r="B29" s="19">
        <v>1</v>
      </c>
      <c r="C29" s="12">
        <v>1</v>
      </c>
      <c r="D29" s="13" t="s">
        <v>27</v>
      </c>
      <c r="E29" s="14" t="s">
        <v>38</v>
      </c>
      <c r="F29" s="14" t="s">
        <v>45</v>
      </c>
      <c r="G29" s="43"/>
      <c r="I29" s="15"/>
    </row>
    <row r="30" spans="1:9" x14ac:dyDescent="0.25">
      <c r="A30" s="7">
        <v>43594</v>
      </c>
      <c r="B30" s="19">
        <v>1</v>
      </c>
      <c r="C30" s="12">
        <v>1</v>
      </c>
      <c r="D30" s="13" t="s">
        <v>8</v>
      </c>
      <c r="E30" s="14" t="s">
        <v>50</v>
      </c>
      <c r="F30" s="14"/>
      <c r="G30" s="43"/>
      <c r="I30" s="15"/>
    </row>
    <row r="31" spans="1:9" x14ac:dyDescent="0.25">
      <c r="A31" s="7">
        <v>43594</v>
      </c>
      <c r="B31" s="19">
        <v>1</v>
      </c>
      <c r="C31" s="12">
        <v>0.25</v>
      </c>
      <c r="D31" s="13" t="s">
        <v>8</v>
      </c>
      <c r="E31" s="14" t="s">
        <v>51</v>
      </c>
      <c r="F31" s="14"/>
      <c r="G31" s="43"/>
      <c r="I31" s="15"/>
    </row>
    <row r="32" spans="1:9" ht="24" customHeight="1" x14ac:dyDescent="0.25">
      <c r="A32" s="44" t="s">
        <v>40</v>
      </c>
      <c r="B32" s="45"/>
      <c r="C32" s="37">
        <f>SUM(C23:C31)</f>
        <v>6.75</v>
      </c>
      <c r="D32" s="35"/>
      <c r="E32" s="36"/>
      <c r="F32" s="36"/>
      <c r="G32" s="43"/>
      <c r="I32" s="15"/>
    </row>
    <row r="33" spans="1:9" ht="15" customHeight="1" x14ac:dyDescent="0.25">
      <c r="A33" s="39">
        <v>43595</v>
      </c>
      <c r="B33" s="33">
        <v>1</v>
      </c>
      <c r="C33" s="38">
        <v>1</v>
      </c>
      <c r="D33" s="13" t="s">
        <v>8</v>
      </c>
      <c r="E33" s="14" t="s">
        <v>52</v>
      </c>
      <c r="F33" s="14"/>
      <c r="G33" s="42" t="s">
        <v>39</v>
      </c>
      <c r="I33" s="15"/>
    </row>
    <row r="34" spans="1:9" x14ac:dyDescent="0.25">
      <c r="A34" s="39">
        <v>43595</v>
      </c>
      <c r="B34" s="33">
        <v>1</v>
      </c>
      <c r="C34" s="38">
        <v>0.25</v>
      </c>
      <c r="D34" s="13" t="s">
        <v>27</v>
      </c>
      <c r="E34" s="14" t="s">
        <v>53</v>
      </c>
      <c r="F34" s="14" t="s">
        <v>46</v>
      </c>
      <c r="G34" s="43"/>
      <c r="I34" s="15"/>
    </row>
    <row r="35" spans="1:9" x14ac:dyDescent="0.25">
      <c r="A35" s="39">
        <v>43595</v>
      </c>
      <c r="B35" s="33">
        <v>1</v>
      </c>
      <c r="C35" s="38">
        <v>1</v>
      </c>
      <c r="D35" s="13" t="s">
        <v>8</v>
      </c>
      <c r="E35" s="14" t="s">
        <v>54</v>
      </c>
      <c r="F35" s="14"/>
      <c r="G35" s="43"/>
      <c r="I35" s="15"/>
    </row>
    <row r="36" spans="1:9" x14ac:dyDescent="0.25">
      <c r="A36" s="39">
        <v>43595</v>
      </c>
      <c r="B36" s="33">
        <v>1</v>
      </c>
      <c r="C36" s="38">
        <v>0.75</v>
      </c>
      <c r="D36" s="13" t="s">
        <v>8</v>
      </c>
      <c r="E36" s="14" t="s">
        <v>55</v>
      </c>
      <c r="F36" s="14"/>
      <c r="G36" s="43"/>
      <c r="I36" s="15"/>
    </row>
    <row r="37" spans="1:9" x14ac:dyDescent="0.25">
      <c r="A37" s="39">
        <v>43595</v>
      </c>
      <c r="B37" s="33">
        <v>1</v>
      </c>
      <c r="C37" s="38">
        <v>0.75</v>
      </c>
      <c r="D37" s="13" t="s">
        <v>8</v>
      </c>
      <c r="E37" s="14" t="s">
        <v>56</v>
      </c>
      <c r="F37" s="14"/>
      <c r="G37" s="43"/>
      <c r="I37" s="15"/>
    </row>
    <row r="38" spans="1:9" x14ac:dyDescent="0.25">
      <c r="A38" s="39">
        <v>43595</v>
      </c>
      <c r="B38" s="33">
        <v>1</v>
      </c>
      <c r="C38" s="38">
        <v>1.25</v>
      </c>
      <c r="D38" s="13" t="s">
        <v>8</v>
      </c>
      <c r="E38" s="14" t="s">
        <v>57</v>
      </c>
      <c r="F38" s="14"/>
      <c r="G38" s="43"/>
      <c r="I38" s="15"/>
    </row>
    <row r="39" spans="1:9" x14ac:dyDescent="0.25">
      <c r="A39" s="39">
        <v>43595</v>
      </c>
      <c r="B39" s="33">
        <v>1</v>
      </c>
      <c r="C39" s="38">
        <v>0.5</v>
      </c>
      <c r="D39" s="13" t="s">
        <v>8</v>
      </c>
      <c r="E39" s="14" t="s">
        <v>58</v>
      </c>
      <c r="F39" s="14"/>
      <c r="G39" s="43"/>
      <c r="I39" s="15"/>
    </row>
    <row r="40" spans="1:9" x14ac:dyDescent="0.25">
      <c r="A40" s="39">
        <v>43595</v>
      </c>
      <c r="B40" s="33">
        <v>1</v>
      </c>
      <c r="C40" s="38">
        <v>0.5</v>
      </c>
      <c r="D40" s="13" t="s">
        <v>8</v>
      </c>
      <c r="E40" s="14" t="s">
        <v>59</v>
      </c>
      <c r="F40" s="14"/>
      <c r="G40" s="43"/>
      <c r="I40" s="15"/>
    </row>
    <row r="41" spans="1:9" x14ac:dyDescent="0.25">
      <c r="A41" s="39">
        <v>43595</v>
      </c>
      <c r="B41" s="33">
        <v>1</v>
      </c>
      <c r="C41" s="38">
        <v>0.25</v>
      </c>
      <c r="D41" s="13" t="s">
        <v>18</v>
      </c>
      <c r="E41" s="14" t="s">
        <v>43</v>
      </c>
      <c r="F41" s="14"/>
      <c r="G41" s="43"/>
      <c r="I41" s="15"/>
    </row>
    <row r="42" spans="1:9" x14ac:dyDescent="0.25">
      <c r="A42" s="39">
        <v>43595</v>
      </c>
      <c r="B42" s="33">
        <v>1</v>
      </c>
      <c r="C42" s="38">
        <v>0.25</v>
      </c>
      <c r="D42" s="13" t="s">
        <v>8</v>
      </c>
      <c r="E42" s="14" t="s">
        <v>60</v>
      </c>
      <c r="F42" s="14"/>
      <c r="G42" s="43"/>
      <c r="I42" s="15"/>
    </row>
    <row r="43" spans="1:9" x14ac:dyDescent="0.25">
      <c r="A43" s="39">
        <v>43595</v>
      </c>
      <c r="B43" s="33">
        <v>1</v>
      </c>
      <c r="C43" s="38">
        <v>0.25</v>
      </c>
      <c r="D43" s="13" t="s">
        <v>8</v>
      </c>
      <c r="E43" s="14" t="s">
        <v>61</v>
      </c>
      <c r="F43" s="14"/>
      <c r="G43" s="43"/>
      <c r="I43" s="15"/>
    </row>
    <row r="44" spans="1:9" x14ac:dyDescent="0.25">
      <c r="A44" s="44" t="s">
        <v>40</v>
      </c>
      <c r="B44" s="45"/>
      <c r="C44" s="37">
        <f>SUM(C33:C43)</f>
        <v>6.75</v>
      </c>
      <c r="D44" s="35"/>
      <c r="E44" s="36"/>
      <c r="F44" s="36"/>
      <c r="G44" s="43"/>
      <c r="I44" s="15"/>
    </row>
    <row r="45" spans="1:9" x14ac:dyDescent="0.25">
      <c r="A45" s="39">
        <v>43599</v>
      </c>
      <c r="B45" s="33">
        <v>2</v>
      </c>
      <c r="C45" s="38">
        <v>1</v>
      </c>
      <c r="D45" s="13" t="s">
        <v>14</v>
      </c>
      <c r="E45" s="14" t="s">
        <v>62</v>
      </c>
      <c r="F45" s="14"/>
      <c r="G45" s="40"/>
      <c r="I45" s="15"/>
    </row>
    <row r="46" spans="1:9" x14ac:dyDescent="0.25">
      <c r="A46" s="39">
        <v>43599</v>
      </c>
      <c r="B46" s="33">
        <v>2</v>
      </c>
      <c r="C46" s="38">
        <v>0.5</v>
      </c>
      <c r="D46" s="13" t="s">
        <v>8</v>
      </c>
      <c r="E46" s="14" t="s">
        <v>65</v>
      </c>
      <c r="F46" s="14"/>
      <c r="G46" s="40"/>
      <c r="I46" s="15"/>
    </row>
    <row r="47" spans="1:9" x14ac:dyDescent="0.25">
      <c r="A47" s="39">
        <v>43599</v>
      </c>
      <c r="B47" s="33">
        <v>2</v>
      </c>
      <c r="C47" s="38">
        <v>0.5</v>
      </c>
      <c r="D47" s="13" t="s">
        <v>8</v>
      </c>
      <c r="E47" s="14" t="s">
        <v>68</v>
      </c>
      <c r="F47" s="14"/>
      <c r="G47" s="40"/>
      <c r="I47" s="15"/>
    </row>
    <row r="48" spans="1:9" x14ac:dyDescent="0.25">
      <c r="A48" s="39">
        <v>43599</v>
      </c>
      <c r="B48" s="33">
        <v>2</v>
      </c>
      <c r="C48" s="38">
        <v>1</v>
      </c>
      <c r="D48" s="13" t="s">
        <v>8</v>
      </c>
      <c r="E48" s="14" t="s">
        <v>69</v>
      </c>
      <c r="F48" s="14"/>
      <c r="G48" s="40"/>
      <c r="I48" s="15"/>
    </row>
    <row r="49" spans="1:9" x14ac:dyDescent="0.25">
      <c r="A49" s="39">
        <v>43599</v>
      </c>
      <c r="B49" s="33">
        <v>2</v>
      </c>
      <c r="C49" s="38">
        <v>1</v>
      </c>
      <c r="D49" s="13" t="s">
        <v>8</v>
      </c>
      <c r="E49" s="14" t="s">
        <v>70</v>
      </c>
      <c r="F49" s="14"/>
      <c r="G49" s="40"/>
      <c r="I49" s="15"/>
    </row>
    <row r="50" spans="1:9" x14ac:dyDescent="0.25">
      <c r="A50" s="39"/>
      <c r="B50" s="33"/>
      <c r="C50" s="38"/>
      <c r="D50" s="13"/>
      <c r="E50" s="14"/>
      <c r="F50" s="14"/>
      <c r="G50" s="40"/>
      <c r="I50" s="15"/>
    </row>
    <row r="51" spans="1:9" x14ac:dyDescent="0.25">
      <c r="A51" s="44" t="s">
        <v>40</v>
      </c>
      <c r="B51" s="45"/>
      <c r="C51" s="37">
        <f>SUM(C45:C49)</f>
        <v>4</v>
      </c>
      <c r="D51" s="35"/>
      <c r="E51" s="36"/>
      <c r="F51" s="36"/>
      <c r="G51" s="41"/>
      <c r="I51" s="15"/>
    </row>
    <row r="52" spans="1:9" x14ac:dyDescent="0.25">
      <c r="A52" s="11"/>
      <c r="B52" s="11"/>
      <c r="C52" s="11"/>
      <c r="D52" s="11"/>
      <c r="E52" s="11"/>
      <c r="F52" s="11"/>
      <c r="G52"/>
      <c r="I52" s="15"/>
    </row>
    <row r="53" spans="1:9" ht="15" customHeight="1" x14ac:dyDescent="0.25">
      <c r="A53" s="23"/>
      <c r="B53" s="24"/>
      <c r="C53" s="25"/>
      <c r="D53" s="26"/>
      <c r="E53" s="27"/>
      <c r="F53" s="27"/>
      <c r="G53"/>
      <c r="I53" s="15"/>
    </row>
    <row r="54" spans="1:9" x14ac:dyDescent="0.25">
      <c r="A54" s="23"/>
      <c r="B54" s="24"/>
      <c r="C54" s="25"/>
      <c r="D54" s="26"/>
      <c r="E54" s="27"/>
      <c r="F54" s="27"/>
      <c r="G54" s="27"/>
    </row>
    <row r="55" spans="1:9" x14ac:dyDescent="0.25">
      <c r="A55" s="21"/>
    </row>
  </sheetData>
  <sheetProtection selectLockedCells="1"/>
  <mergeCells count="10">
    <mergeCell ref="G23:G32"/>
    <mergeCell ref="A51:B51"/>
    <mergeCell ref="A1:G2"/>
    <mergeCell ref="G16:G22"/>
    <mergeCell ref="G7:G15"/>
    <mergeCell ref="A15:B15"/>
    <mergeCell ref="A22:B22"/>
    <mergeCell ref="A32:B32"/>
    <mergeCell ref="A44:B44"/>
    <mergeCell ref="G33:G44"/>
  </mergeCells>
  <dataValidations count="1">
    <dataValidation type="list" showInputMessage="1" showErrorMessage="1" sqref="D53:D54">
      <formula1>$A$2:$A$15</formula1>
    </dataValidation>
  </dataValidations>
  <pageMargins left="0.7" right="0.7" top="0.75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Paramètres!$A$2:$A$11</xm:f>
          </x14:formula1>
          <xm:sqref>D7:D51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I10"/>
  <sheetViews>
    <sheetView workbookViewId="0">
      <selection activeCell="I10" sqref="I10"/>
    </sheetView>
  </sheetViews>
  <sheetFormatPr baseColWidth="10" defaultRowHeight="15" x14ac:dyDescent="0.25"/>
  <cols>
    <col min="1" max="1" width="23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85546875" bestFit="1" customWidth="1"/>
    <col min="9" max="9" width="12.57031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9" x14ac:dyDescent="0.25">
      <c r="A3" s="4" t="s">
        <v>12</v>
      </c>
    </row>
    <row r="4" spans="1:9" x14ac:dyDescent="0.25">
      <c r="B4" t="s">
        <v>8</v>
      </c>
      <c r="C4" t="s">
        <v>6</v>
      </c>
      <c r="D4" t="s">
        <v>14</v>
      </c>
      <c r="E4" t="s">
        <v>18</v>
      </c>
      <c r="F4" t="s">
        <v>27</v>
      </c>
      <c r="G4" t="s">
        <v>34</v>
      </c>
      <c r="H4" t="s">
        <v>36</v>
      </c>
      <c r="I4" t="s">
        <v>10</v>
      </c>
    </row>
    <row r="5" spans="1:9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/>
      <c r="I5" s="3">
        <v>6.5</v>
      </c>
    </row>
    <row r="6" spans="1:9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/>
      <c r="I6" s="3">
        <v>4</v>
      </c>
    </row>
    <row r="7" spans="1:9" x14ac:dyDescent="0.25">
      <c r="A7" s="5" t="s">
        <v>34</v>
      </c>
      <c r="B7" s="3"/>
      <c r="C7" s="3"/>
      <c r="D7" s="3"/>
      <c r="E7" s="3"/>
      <c r="F7" s="3"/>
      <c r="G7" s="3"/>
      <c r="H7" s="3"/>
      <c r="I7" s="3"/>
    </row>
    <row r="8" spans="1:9" x14ac:dyDescent="0.25">
      <c r="A8" s="5">
        <v>43594</v>
      </c>
      <c r="B8" s="3">
        <v>1</v>
      </c>
      <c r="C8" s="3">
        <v>1</v>
      </c>
      <c r="D8" s="3">
        <v>0.75</v>
      </c>
      <c r="E8" s="3">
        <v>0.75</v>
      </c>
      <c r="F8" s="3">
        <v>1</v>
      </c>
      <c r="G8" s="3"/>
      <c r="H8" s="3">
        <v>1</v>
      </c>
      <c r="I8" s="3">
        <v>5.5</v>
      </c>
    </row>
    <row r="9" spans="1:9" x14ac:dyDescent="0.25">
      <c r="A9" s="5" t="s">
        <v>37</v>
      </c>
      <c r="B9" s="3"/>
      <c r="C9" s="3"/>
      <c r="D9" s="3"/>
      <c r="E9" s="3"/>
      <c r="F9" s="3"/>
      <c r="G9" s="3">
        <v>10.5</v>
      </c>
      <c r="H9" s="3"/>
      <c r="I9" s="3">
        <v>10.5</v>
      </c>
    </row>
    <row r="10" spans="1:9" x14ac:dyDescent="0.25">
      <c r="A10" s="5" t="s">
        <v>10</v>
      </c>
      <c r="B10" s="3">
        <v>6.5</v>
      </c>
      <c r="C10" s="3">
        <v>2.5</v>
      </c>
      <c r="D10" s="3">
        <v>2.5</v>
      </c>
      <c r="E10" s="3">
        <v>2</v>
      </c>
      <c r="F10" s="3">
        <v>1.5</v>
      </c>
      <c r="G10" s="3">
        <v>10.5</v>
      </c>
      <c r="H10" s="3">
        <v>1</v>
      </c>
      <c r="I10" s="3">
        <v>26.5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1"/>
  <sheetViews>
    <sheetView workbookViewId="0">
      <selection activeCell="B39" sqref="B39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41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18</v>
      </c>
    </row>
    <row r="7" spans="1:1" x14ac:dyDescent="0.25">
      <c r="A7" t="s">
        <v>14</v>
      </c>
    </row>
    <row r="8" spans="1:1" x14ac:dyDescent="0.25">
      <c r="A8" s="1" t="s">
        <v>6</v>
      </c>
    </row>
    <row r="9" spans="1:1" x14ac:dyDescent="0.25">
      <c r="A9" s="1" t="s">
        <v>7</v>
      </c>
    </row>
    <row r="10" spans="1:1" x14ac:dyDescent="0.25">
      <c r="A10" s="1" t="s">
        <v>8</v>
      </c>
    </row>
    <row r="11" spans="1:1" x14ac:dyDescent="0.25">
      <c r="A11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11</xdr:row>
                    <xdr:rowOff>19050</xdr:rowOff>
                  </from>
                  <to>
                    <xdr:col>0</xdr:col>
                    <xdr:colOff>990600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2019-05-14T08:54:54Z</dcterms:modified>
</cp:coreProperties>
</file>