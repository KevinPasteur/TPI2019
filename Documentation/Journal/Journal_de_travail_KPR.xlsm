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50" windowWidth="28800" windowHeight="17550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 concurrentCalc="0"/>
  <pivotCaches>
    <pivotCache cacheId="8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2" i="1" l="1"/>
  <c r="C15" i="1"/>
  <c r="C22" i="1"/>
</calcChain>
</file>

<file path=xl/sharedStrings.xml><?xml version="1.0" encoding="utf-8"?>
<sst xmlns="http://schemas.openxmlformats.org/spreadsheetml/2006/main" count="88" uniqueCount="55">
  <si>
    <t>Description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</si>
  <si>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</si>
  <si>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</si>
  <si>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</si>
  <si>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</si>
  <si>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</si>
  <si>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</si>
  <si>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</si>
  <si>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</si>
  <si>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</si>
  <si>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</si>
  <si>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</si>
  <si>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</si>
  <si>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Remarques/problèmes/déductions</t>
  </si>
  <si>
    <t>Meeting</t>
  </si>
  <si>
    <t>Réalisé par: Kévin PASTEUR</t>
  </si>
  <si>
    <t>Classe: SI-C4B</t>
  </si>
  <si>
    <t>PROJET: ElectroStock</t>
  </si>
  <si>
    <t>Discussion</t>
  </si>
  <si>
    <t>Appréciation critique</t>
  </si>
  <si>
    <t>Mise en place du Trello. Début de création des différents sprints et cartes.</t>
  </si>
  <si>
    <t>Jour normal avec un peu de stress pour ce démarrage</t>
  </si>
  <si>
    <t>Mise en forme de mon journal de bord.</t>
  </si>
  <si>
    <t>Réflexion sur la forme du mail.</t>
  </si>
  <si>
    <t>Réalisation et fin de ma planification initiale.</t>
  </si>
  <si>
    <t>Meeting avec M. Favre concernant la planification et le journal de bord.</t>
  </si>
  <si>
    <t>Réalisation de ma planification initiale.</t>
  </si>
  <si>
    <t>Meeting Pré-débrief avec M. Favre.</t>
  </si>
  <si>
    <t>Rencontre avec M. Roy - discussion concernant le cahier des charges et revue du déroulement du TPI.</t>
  </si>
  <si>
    <t>Recherche</t>
  </si>
  <si>
    <t>Réflexion avec Diego Sanchez sur la planification initiale concernants les différents points qui doivent figurer à l'intérieur de ce dernier.</t>
  </si>
  <si>
    <t>Lorsque le dépôt est en privé, il n'y a pas la possibilité de pouvoir empêcher les collaborateurs de le modifier. Je l'ai donc passé en public en enlevant les collaborateurs.</t>
  </si>
  <si>
    <t>Ajout de la partie planification initiale dans mon rapport de projet.</t>
  </si>
  <si>
    <t>Modification de la planification initiale afin de faire apparaître mon nom et le nom du projet dans le document.</t>
  </si>
  <si>
    <t>Recherche d'un template sur internet.</t>
  </si>
  <si>
    <t>Réalisation de mon MCD et de mon MLD.</t>
  </si>
  <si>
    <t>Configuration du dépôt git.</t>
  </si>
  <si>
    <t>(vide)</t>
  </si>
  <si>
    <t>Bonne journée quelques soucis avec le dépôt mais résolu rapidement</t>
  </si>
  <si>
    <t>Aide Diego Sanchez pour l'utilisation de son dépôt GIT</t>
  </si>
  <si>
    <t>Ajout de la partie objectifs et fonctionnalités dans mon rapport de projet</t>
  </si>
  <si>
    <t>Modification de mon MCD et de mon MLD en modifiant les types des champs</t>
  </si>
  <si>
    <t>Modélisation</t>
  </si>
  <si>
    <t>Aide Joel Matias pour son dépôt bitbucket</t>
  </si>
  <si>
    <t xml:space="preserve">Mise en place de la page accueil </t>
  </si>
  <si>
    <t>Total d'heures journalier</t>
  </si>
  <si>
    <t>Meeting avec M. Favre concernant le stock du laboratoire d'électronique, le cahier des charges et différents points et ma modélisation</t>
  </si>
  <si>
    <t>Date modif: 09.05.2019</t>
  </si>
  <si>
    <t xml:space="preserve">Recherche de différents sites de gestion d'inventaire. </t>
  </si>
  <si>
    <t>Solutions retenues : GLPI, ServiceDesk PLUS, Snipe-IT</t>
  </si>
  <si>
    <t>Début de rédaction de l'analyse concurrentielle (GLPI et Service desk)</t>
  </si>
  <si>
    <t>Cela m'a permit d'être au clair avec certains points</t>
  </si>
  <si>
    <t>Début de réalisation de la maquette d'accueil (sans authentification)</t>
  </si>
  <si>
    <t>Bonne journée, rien à signaler de spécial</t>
  </si>
  <si>
    <t>Total d'heures journalières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</si>
</sst>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5" applyNumberFormat="0" applyAlignment="0" applyProtection="0"/>
  </cellStyleXfs>
  <cellXfs count="5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16" fontId="0" fillId="0" borderId="0" xfId="0" applyNumberFormat="1" applyBorder="1" applyAlignment="1" applyProtection="1">
      <alignment horizontal="center" vertical="center"/>
      <protection locked="0"/>
    </xf>
    <xf numFmtId="1" fontId="0" fillId="0" borderId="0" xfId="0" applyNumberFormat="1" applyBorder="1" applyAlignment="1" applyProtection="1">
      <alignment horizontal="center" vertical="center"/>
    </xf>
    <xf numFmtId="2" fontId="0" fillId="0" borderId="0" xfId="0" applyNumberForma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left" vertical="center" wrapText="1"/>
      <protection locked="0"/>
    </xf>
    <xf numFmtId="0" fontId="7" fillId="4" borderId="2" xfId="2" applyBorder="1" applyAlignment="1" applyProtection="1">
      <alignment horizontal="center" vertical="center" wrapText="1"/>
      <protection locked="0"/>
    </xf>
    <xf numFmtId="0" fontId="7" fillId="4" borderId="3" xfId="2" applyBorder="1" applyAlignment="1" applyProtection="1">
      <alignment horizontal="center" vertical="center" wrapText="1"/>
      <protection locked="0"/>
    </xf>
    <xf numFmtId="0" fontId="7" fillId="4" borderId="4" xfId="2" applyBorder="1" applyAlignment="1" applyProtection="1">
      <alignment horizontal="center" vertical="center" wrapText="1"/>
      <protection locked="0"/>
    </xf>
    <xf numFmtId="0" fontId="6" fillId="3" borderId="2" xfId="1" applyBorder="1" applyAlignment="1">
      <alignment horizontal="center" vertical="center" wrapText="1"/>
    </xf>
    <xf numFmtId="0" fontId="6" fillId="3" borderId="3" xfId="1" applyBorder="1" applyAlignment="1">
      <alignment horizontal="center" vertical="center" wrapText="1"/>
    </xf>
    <xf numFmtId="0" fontId="6" fillId="3" borderId="4" xfId="1" applyBorder="1" applyAlignment="1">
      <alignment horizontal="center" vertical="center" wrapText="1"/>
    </xf>
    <xf numFmtId="2" fontId="8" fillId="0" borderId="5" xfId="3" applyNumberFormat="1" applyFill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 wrapText="1"/>
      <protection locked="0"/>
    </xf>
    <xf numFmtId="0" fontId="4" fillId="0" borderId="6" xfId="0" applyFont="1" applyBorder="1"/>
    <xf numFmtId="0" fontId="4" fillId="0" borderId="12" xfId="0" applyFont="1" applyBorder="1"/>
    <xf numFmtId="0" fontId="4" fillId="0" borderId="12" xfId="0" applyFont="1" applyBorder="1" applyAlignment="1"/>
    <xf numFmtId="0" fontId="4" fillId="0" borderId="12" xfId="0" applyFont="1" applyBorder="1" applyAlignment="1">
      <alignment horizontal="left"/>
    </xf>
    <xf numFmtId="0" fontId="4" fillId="0" borderId="13" xfId="0" applyFont="1" applyBorder="1"/>
    <xf numFmtId="0" fontId="3" fillId="6" borderId="8" xfId="0" applyFont="1" applyFill="1" applyBorder="1" applyAlignment="1">
      <alignment horizontal="center"/>
    </xf>
    <xf numFmtId="0" fontId="3" fillId="6" borderId="9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7" xfId="0" applyFont="1" applyFill="1" applyBorder="1" applyAlignment="1">
      <alignment horizontal="center"/>
    </xf>
    <xf numFmtId="0" fontId="3" fillId="6" borderId="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1" fontId="0" fillId="0" borderId="14" xfId="0" applyNumberFormat="1" applyBorder="1" applyAlignment="1" applyProtection="1">
      <alignment horizontal="center" vertical="center"/>
    </xf>
    <xf numFmtId="1" fontId="0" fillId="0" borderId="15" xfId="0" applyNumberFormat="1" applyBorder="1" applyAlignment="1" applyProtection="1">
      <alignment horizontal="center" vertical="center"/>
    </xf>
    <xf numFmtId="2" fontId="8" fillId="5" borderId="1" xfId="3" applyNumberFormat="1" applyBorder="1" applyAlignment="1" applyProtection="1">
      <alignment horizontal="center" vertical="center"/>
      <protection locked="0"/>
    </xf>
    <xf numFmtId="0" fontId="7" fillId="4" borderId="2" xfId="2" applyBorder="1" applyAlignment="1">
      <alignment horizontal="center" vertical="center"/>
    </xf>
    <xf numFmtId="0" fontId="7" fillId="4" borderId="3" xfId="2" applyBorder="1" applyAlignment="1">
      <alignment horizontal="center" vertical="center"/>
    </xf>
  </cellXfs>
  <cellStyles count="4">
    <cellStyle name="Calcul" xfId="3" builtinId="22"/>
    <cellStyle name="Neutre" xfId="1" builtinId="28"/>
    <cellStyle name="Normal" xfId="0" builtinId="0"/>
    <cellStyle name="Satisfaisant" xfId="2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285750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10</xdr:row>
          <xdr:rowOff>19050</xdr:rowOff>
        </xdr:from>
        <xdr:to>
          <xdr:col>0</xdr:col>
          <xdr:colOff>990600</xdr:colOff>
          <xdr:row>11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594.686571412036" createdVersion="6" refreshedVersion="6" minRefreshableVersion="3" recordCount="25">
  <cacheSource type="worksheet">
    <worksheetSource ref="A6:E32" sheet="Journal"/>
  </cacheSource>
  <cacheFields count="5">
    <cacheField name="Jour" numFmtId="0">
      <sharedItems containsDate="1" containsBlank="1" containsMixedTypes="1" minDate="2019-05-07T00:00:00" maxDate="2019-05-10T00:00:00" count="5">
        <d v="2019-05-07T00:00:00"/>
        <s v="Total d'heures journalier"/>
        <d v="2019-05-08T00:00:00"/>
        <d v="2019-05-09T00:00:00"/>
        <m/>
      </sharedItems>
    </cacheField>
    <cacheField name="Semaine" numFmtId="1">
      <sharedItems containsString="0" containsBlank="1" containsNumber="1" containsInteger="1" minValue="1" maxValue="1"/>
    </cacheField>
    <cacheField name="Temps [h]" numFmtId="2">
      <sharedItems containsString="0" containsBlank="1" containsNumber="1" minValue="0.25" maxValue="6.5"/>
    </cacheField>
    <cacheField name="Type" numFmtId="0">
      <sharedItems containsBlank="1" count="7">
        <s v="Meeting"/>
        <s v="Documentation"/>
        <s v="Discussion"/>
        <s v="Implémentation"/>
        <m/>
        <s v="Recherche"/>
        <s v="Modélisation"/>
      </sharedItems>
    </cacheField>
    <cacheField name="Descriptio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">
  <r>
    <x v="0"/>
    <n v="1"/>
    <n v="0.75"/>
    <x v="0"/>
    <s v="Rencontre avec M. Roy - discussion concernant le cahier des charges et revue du déroulement du TPI."/>
  </r>
  <r>
    <x v="0"/>
    <n v="1"/>
    <n v="0.25"/>
    <x v="0"/>
    <s v="Meeting Pré-débrief avec M. Favre."/>
  </r>
  <r>
    <x v="0"/>
    <n v="1"/>
    <n v="1"/>
    <x v="1"/>
    <s v="Réalisation de ma planification initiale."/>
  </r>
  <r>
    <x v="0"/>
    <n v="1"/>
    <n v="0.75"/>
    <x v="2"/>
    <s v="Réflexion avec Diego Sanchez sur la planification initiale concernants les différents points qui doivent figurer à l'intérieur de ce dernier."/>
  </r>
  <r>
    <x v="0"/>
    <n v="1"/>
    <n v="1"/>
    <x v="3"/>
    <s v="Mise en place du Trello. Début de création des différents sprints et cartes."/>
  </r>
  <r>
    <x v="0"/>
    <n v="1"/>
    <n v="0.75"/>
    <x v="0"/>
    <s v="Meeting avec M. Favre concernant la planification et le journal de bord."/>
  </r>
  <r>
    <x v="0"/>
    <n v="1"/>
    <n v="1.5"/>
    <x v="1"/>
    <s v="Réalisation et fin de ma planification initiale."/>
  </r>
  <r>
    <x v="0"/>
    <n v="1"/>
    <n v="0.5"/>
    <x v="2"/>
    <s v="Réflexion sur la forme du mail."/>
  </r>
  <r>
    <x v="1"/>
    <m/>
    <n v="6.5"/>
    <x v="4"/>
    <m/>
  </r>
  <r>
    <x v="2"/>
    <n v="1"/>
    <n v="0.75"/>
    <x v="1"/>
    <s v="Mise en forme de mon journal de bord."/>
  </r>
  <r>
    <x v="2"/>
    <n v="1"/>
    <n v="0.5"/>
    <x v="3"/>
    <s v="Configuration du dépôt git."/>
  </r>
  <r>
    <x v="2"/>
    <n v="1"/>
    <n v="1.5"/>
    <x v="1"/>
    <s v="Réalisation de mon MCD et de mon MLD."/>
  </r>
  <r>
    <x v="2"/>
    <n v="1"/>
    <n v="0.5"/>
    <x v="5"/>
    <s v="Recherche d'un template sur internet."/>
  </r>
  <r>
    <x v="2"/>
    <n v="1"/>
    <n v="0.25"/>
    <x v="1"/>
    <s v="Modification de la planification initiale afin de faire apparaître mon nom et le nom du projet dans le document."/>
  </r>
  <r>
    <x v="2"/>
    <n v="1"/>
    <n v="0.5"/>
    <x v="1"/>
    <s v="Ajout de la partie planification initiale dans mon rapport de projet."/>
  </r>
  <r>
    <x v="1"/>
    <m/>
    <n v="4"/>
    <x v="4"/>
    <m/>
  </r>
  <r>
    <x v="3"/>
    <n v="1"/>
    <n v="1"/>
    <x v="1"/>
    <s v="Ajout de la partie objectifs et fonctionnalités dans mon rapport de projet"/>
  </r>
  <r>
    <x v="3"/>
    <n v="1"/>
    <n v="0.5"/>
    <x v="2"/>
    <s v="Aide Diego Sanchez pour l'utilisation de son dépôt GIT"/>
  </r>
  <r>
    <x v="3"/>
    <n v="1"/>
    <n v="1"/>
    <x v="6"/>
    <s v="Modification de mon MCD et de mon MLD en modifiant les types des champs"/>
  </r>
  <r>
    <x v="3"/>
    <n v="1"/>
    <n v="0.25"/>
    <x v="2"/>
    <s v="Aide Joel Matias pour son dépôt bitbucket"/>
  </r>
  <r>
    <x v="3"/>
    <n v="1"/>
    <n v="1"/>
    <x v="3"/>
    <s v="Mise en place de la page accueil "/>
  </r>
  <r>
    <x v="3"/>
    <n v="1"/>
    <n v="0.75"/>
    <x v="0"/>
    <s v="Meeting avec M. Favre concernant le stock du laboratoire d'électronique, le cahier des charges et différents points et ma modélisation"/>
  </r>
  <r>
    <x v="3"/>
    <n v="1"/>
    <n v="1"/>
    <x v="5"/>
    <s v="Recherche de différents sites de gestion d'inventaire. "/>
  </r>
  <r>
    <x v="3"/>
    <n v="1"/>
    <m/>
    <x v="4"/>
    <m/>
  </r>
  <r>
    <x v="4"/>
    <m/>
    <m/>
    <x v="4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8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I10" firstHeaderRow="1" firstDataRow="2" firstDataCol="1"/>
  <pivotFields count="5">
    <pivotField axis="axisRow" numFmtId="16" showAll="0">
      <items count="6">
        <item x="0"/>
        <item x="2"/>
        <item x="4"/>
        <item x="3"/>
        <item x="1"/>
        <item t="default"/>
      </items>
    </pivotField>
    <pivotField showAll="0"/>
    <pivotField dataField="1" showAll="0"/>
    <pivotField axis="axisCol" showAll="0">
      <items count="8">
        <item x="1"/>
        <item x="3"/>
        <item x="0"/>
        <item x="2"/>
        <item x="5"/>
        <item x="4"/>
        <item x="6"/>
        <item t="default"/>
      </items>
    </pivotField>
    <pivotField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3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I36"/>
  <sheetViews>
    <sheetView tabSelected="1" topLeftCell="A10" workbookViewId="0">
      <selection activeCell="E20" sqref="E20"/>
    </sheetView>
  </sheetViews>
  <sheetFormatPr baseColWidth="10" defaultColWidth="9.140625" defaultRowHeight="15" x14ac:dyDescent="0.25"/>
  <cols>
    <col min="1" max="1" width="6.85546875" style="8" bestFit="1" customWidth="1"/>
    <col min="2" max="2" width="25.5703125" style="20" customWidth="1"/>
    <col min="3" max="3" width="10.5703125" style="16" bestFit="1" customWidth="1"/>
    <col min="4" max="4" width="15.42578125" style="8" bestFit="1" customWidth="1"/>
    <col min="5" max="5" width="84.7109375" style="17" bestFit="1" customWidth="1"/>
    <col min="6" max="6" width="75.140625" style="17" customWidth="1"/>
    <col min="7" max="7" width="36" style="11" customWidth="1"/>
    <col min="8" max="16384" width="9.140625" style="11"/>
  </cols>
  <sheetData>
    <row r="1" spans="1:9" s="22" customFormat="1" ht="13.9" customHeight="1" x14ac:dyDescent="0.2">
      <c r="A1" s="42" t="s">
        <v>17</v>
      </c>
      <c r="B1" s="43"/>
      <c r="C1" s="43"/>
      <c r="D1" s="43"/>
      <c r="E1" s="43"/>
      <c r="F1" s="43"/>
      <c r="G1" s="44"/>
    </row>
    <row r="2" spans="1:9" s="22" customFormat="1" ht="14.25" customHeight="1" x14ac:dyDescent="0.2">
      <c r="A2" s="45"/>
      <c r="B2" s="46"/>
      <c r="C2" s="46"/>
      <c r="D2" s="46"/>
      <c r="E2" s="46"/>
      <c r="F2" s="46"/>
      <c r="G2" s="47"/>
    </row>
    <row r="3" spans="1:9" s="22" customFormat="1" ht="25.15" customHeight="1" x14ac:dyDescent="0.2">
      <c r="A3" s="37"/>
      <c r="B3" s="38"/>
      <c r="C3" s="38"/>
      <c r="D3" s="39"/>
      <c r="E3" s="39" t="s">
        <v>15</v>
      </c>
      <c r="F3" s="40" t="s">
        <v>16</v>
      </c>
      <c r="G3" s="41" t="s">
        <v>47</v>
      </c>
    </row>
    <row r="6" spans="1:9" ht="24" customHeight="1" x14ac:dyDescent="0.25">
      <c r="A6" s="6" t="s">
        <v>1</v>
      </c>
      <c r="B6" s="18" t="s">
        <v>11</v>
      </c>
      <c r="C6" s="9" t="s">
        <v>2</v>
      </c>
      <c r="D6" s="6" t="s">
        <v>3</v>
      </c>
      <c r="E6" s="10" t="s">
        <v>0</v>
      </c>
      <c r="F6" s="10" t="s">
        <v>13</v>
      </c>
      <c r="G6" s="10" t="s">
        <v>19</v>
      </c>
    </row>
    <row r="7" spans="1:9" ht="30" x14ac:dyDescent="0.25">
      <c r="A7" s="7">
        <v>43592</v>
      </c>
      <c r="B7" s="19">
        <v>1</v>
      </c>
      <c r="C7" s="12">
        <v>0.75</v>
      </c>
      <c r="D7" s="13" t="s">
        <v>14</v>
      </c>
      <c r="E7" s="14" t="s">
        <v>28</v>
      </c>
      <c r="F7" s="14"/>
      <c r="G7" s="28" t="s">
        <v>21</v>
      </c>
      <c r="I7" s="15"/>
    </row>
    <row r="8" spans="1:9" x14ac:dyDescent="0.25">
      <c r="A8" s="7">
        <v>43592</v>
      </c>
      <c r="B8" s="19">
        <v>1</v>
      </c>
      <c r="C8" s="12">
        <v>0.25</v>
      </c>
      <c r="D8" s="13" t="s">
        <v>14</v>
      </c>
      <c r="E8" s="14" t="s">
        <v>27</v>
      </c>
      <c r="F8" s="14"/>
      <c r="G8" s="29"/>
      <c r="I8" s="15"/>
    </row>
    <row r="9" spans="1:9" x14ac:dyDescent="0.25">
      <c r="A9" s="7">
        <v>43592</v>
      </c>
      <c r="B9" s="19">
        <v>1</v>
      </c>
      <c r="C9" s="12">
        <v>1</v>
      </c>
      <c r="D9" s="13" t="s">
        <v>8</v>
      </c>
      <c r="E9" s="14" t="s">
        <v>26</v>
      </c>
      <c r="F9" s="14"/>
      <c r="G9" s="29"/>
      <c r="I9" s="15"/>
    </row>
    <row r="10" spans="1:9" ht="30" x14ac:dyDescent="0.25">
      <c r="A10" s="7">
        <v>43592</v>
      </c>
      <c r="B10" s="19">
        <v>1</v>
      </c>
      <c r="C10" s="12">
        <v>0.75</v>
      </c>
      <c r="D10" s="13" t="s">
        <v>18</v>
      </c>
      <c r="E10" s="14" t="s">
        <v>30</v>
      </c>
      <c r="F10" s="14"/>
      <c r="G10" s="29"/>
      <c r="I10" s="15"/>
    </row>
    <row r="11" spans="1:9" x14ac:dyDescent="0.25">
      <c r="A11" s="7">
        <v>43592</v>
      </c>
      <c r="B11" s="19">
        <v>1</v>
      </c>
      <c r="C11" s="12">
        <v>1</v>
      </c>
      <c r="D11" s="13" t="s">
        <v>6</v>
      </c>
      <c r="E11" s="14" t="s">
        <v>20</v>
      </c>
      <c r="F11" s="14"/>
      <c r="G11" s="29"/>
      <c r="I11" s="15"/>
    </row>
    <row r="12" spans="1:9" x14ac:dyDescent="0.25">
      <c r="A12" s="7">
        <v>43592</v>
      </c>
      <c r="B12" s="19">
        <v>1</v>
      </c>
      <c r="C12" s="12">
        <v>0.75</v>
      </c>
      <c r="D12" s="13" t="s">
        <v>14</v>
      </c>
      <c r="E12" s="14" t="s">
        <v>25</v>
      </c>
      <c r="F12" s="14"/>
      <c r="G12" s="29"/>
      <c r="I12" s="15"/>
    </row>
    <row r="13" spans="1:9" x14ac:dyDescent="0.25">
      <c r="A13" s="7">
        <v>43592</v>
      </c>
      <c r="B13" s="19">
        <v>1</v>
      </c>
      <c r="C13" s="12">
        <v>1.5</v>
      </c>
      <c r="D13" s="13" t="s">
        <v>8</v>
      </c>
      <c r="E13" s="14" t="s">
        <v>24</v>
      </c>
      <c r="F13" s="14"/>
      <c r="G13" s="29"/>
      <c r="I13" s="15"/>
    </row>
    <row r="14" spans="1:9" ht="30" customHeight="1" x14ac:dyDescent="0.25">
      <c r="A14" s="7">
        <v>43592</v>
      </c>
      <c r="B14" s="19">
        <v>1</v>
      </c>
      <c r="C14" s="12">
        <v>0.5</v>
      </c>
      <c r="D14" s="13" t="s">
        <v>18</v>
      </c>
      <c r="E14" s="14" t="s">
        <v>23</v>
      </c>
      <c r="F14" s="14"/>
      <c r="G14" s="29"/>
      <c r="I14" s="15"/>
    </row>
    <row r="15" spans="1:9" ht="30" customHeight="1" x14ac:dyDescent="0.25">
      <c r="A15" s="48" t="s">
        <v>54</v>
      </c>
      <c r="B15" s="49"/>
      <c r="C15" s="50">
        <f>SUM(C7:C14)</f>
        <v>6.5</v>
      </c>
      <c r="D15" s="13"/>
      <c r="E15" s="14"/>
      <c r="F15" s="14"/>
      <c r="G15" s="30"/>
      <c r="I15" s="15"/>
    </row>
    <row r="16" spans="1:9" ht="15" customHeight="1" x14ac:dyDescent="0.25">
      <c r="A16" s="7">
        <v>43593</v>
      </c>
      <c r="B16" s="19">
        <v>1</v>
      </c>
      <c r="C16" s="12">
        <v>0.75</v>
      </c>
      <c r="D16" s="13" t="s">
        <v>8</v>
      </c>
      <c r="E16" s="14" t="s">
        <v>22</v>
      </c>
      <c r="F16" s="14"/>
      <c r="G16" s="31" t="s">
        <v>38</v>
      </c>
      <c r="I16" s="15"/>
    </row>
    <row r="17" spans="1:9" ht="45" x14ac:dyDescent="0.25">
      <c r="A17" s="7">
        <v>43593</v>
      </c>
      <c r="B17" s="19">
        <v>1</v>
      </c>
      <c r="C17" s="12">
        <v>0.5</v>
      </c>
      <c r="D17" s="13" t="s">
        <v>6</v>
      </c>
      <c r="E17" s="14" t="s">
        <v>36</v>
      </c>
      <c r="F17" s="14" t="s">
        <v>31</v>
      </c>
      <c r="G17" s="32"/>
      <c r="I17" s="15"/>
    </row>
    <row r="18" spans="1:9" x14ac:dyDescent="0.25">
      <c r="A18" s="7">
        <v>43593</v>
      </c>
      <c r="B18" s="19">
        <v>1</v>
      </c>
      <c r="C18" s="12">
        <v>1.5</v>
      </c>
      <c r="D18" s="13" t="s">
        <v>8</v>
      </c>
      <c r="E18" s="14" t="s">
        <v>35</v>
      </c>
      <c r="F18" s="14"/>
      <c r="G18" s="32"/>
      <c r="I18" s="15"/>
    </row>
    <row r="19" spans="1:9" x14ac:dyDescent="0.25">
      <c r="A19" s="7">
        <v>43593</v>
      </c>
      <c r="B19" s="19">
        <v>1</v>
      </c>
      <c r="C19" s="12">
        <v>0.5</v>
      </c>
      <c r="D19" s="13" t="s">
        <v>29</v>
      </c>
      <c r="E19" s="14" t="s">
        <v>34</v>
      </c>
      <c r="F19" s="14"/>
      <c r="G19" s="32"/>
      <c r="I19" s="15"/>
    </row>
    <row r="20" spans="1:9" ht="30" x14ac:dyDescent="0.25">
      <c r="A20" s="7">
        <v>43593</v>
      </c>
      <c r="B20" s="19">
        <v>1</v>
      </c>
      <c r="C20" s="12">
        <v>0.25</v>
      </c>
      <c r="D20" s="13" t="s">
        <v>8</v>
      </c>
      <c r="E20" s="14" t="s">
        <v>33</v>
      </c>
      <c r="F20" s="14"/>
      <c r="G20" s="32"/>
      <c r="I20" s="15"/>
    </row>
    <row r="21" spans="1:9" x14ac:dyDescent="0.25">
      <c r="A21" s="7">
        <v>43593</v>
      </c>
      <c r="B21" s="19">
        <v>1</v>
      </c>
      <c r="C21" s="12">
        <v>0.5</v>
      </c>
      <c r="D21" s="13" t="s">
        <v>8</v>
      </c>
      <c r="E21" s="14" t="s">
        <v>32</v>
      </c>
      <c r="F21" s="14"/>
      <c r="G21" s="32"/>
      <c r="I21" s="15"/>
    </row>
    <row r="22" spans="1:9" ht="27" customHeight="1" x14ac:dyDescent="0.25">
      <c r="A22" s="48" t="s">
        <v>54</v>
      </c>
      <c r="B22" s="49"/>
      <c r="C22" s="34">
        <f>SUM(C16:C21)</f>
        <v>4</v>
      </c>
      <c r="D22" s="35"/>
      <c r="E22" s="36"/>
      <c r="F22" s="36"/>
      <c r="G22" s="33"/>
      <c r="I22" s="15"/>
    </row>
    <row r="23" spans="1:9" x14ac:dyDescent="0.25">
      <c r="A23" s="7">
        <v>43594</v>
      </c>
      <c r="B23" s="19">
        <v>1</v>
      </c>
      <c r="C23" s="12">
        <v>1</v>
      </c>
      <c r="D23" s="13" t="s">
        <v>8</v>
      </c>
      <c r="E23" s="14" t="s">
        <v>40</v>
      </c>
      <c r="F23" s="14"/>
      <c r="G23" s="51" t="s">
        <v>53</v>
      </c>
      <c r="I23" s="15"/>
    </row>
    <row r="24" spans="1:9" x14ac:dyDescent="0.25">
      <c r="A24" s="7">
        <v>43594</v>
      </c>
      <c r="B24" s="19">
        <v>1</v>
      </c>
      <c r="C24" s="12">
        <v>0.5</v>
      </c>
      <c r="D24" s="13" t="s">
        <v>18</v>
      </c>
      <c r="E24" s="14" t="s">
        <v>39</v>
      </c>
      <c r="F24" s="14"/>
      <c r="G24" s="52"/>
      <c r="I24" s="15"/>
    </row>
    <row r="25" spans="1:9" x14ac:dyDescent="0.25">
      <c r="A25" s="7">
        <v>43594</v>
      </c>
      <c r="B25" s="19">
        <v>1</v>
      </c>
      <c r="C25" s="12">
        <v>1</v>
      </c>
      <c r="D25" s="13" t="s">
        <v>42</v>
      </c>
      <c r="E25" s="14" t="s">
        <v>41</v>
      </c>
      <c r="F25" s="14"/>
      <c r="G25" s="52"/>
      <c r="I25" s="15"/>
    </row>
    <row r="26" spans="1:9" x14ac:dyDescent="0.25">
      <c r="A26" s="7">
        <v>43594</v>
      </c>
      <c r="B26" s="19">
        <v>1</v>
      </c>
      <c r="C26" s="12">
        <v>0.25</v>
      </c>
      <c r="D26" s="13" t="s">
        <v>18</v>
      </c>
      <c r="E26" s="14" t="s">
        <v>43</v>
      </c>
      <c r="F26" s="14"/>
      <c r="G26" s="52"/>
      <c r="I26" s="15"/>
    </row>
    <row r="27" spans="1:9" x14ac:dyDescent="0.25">
      <c r="A27" s="7">
        <v>43594</v>
      </c>
      <c r="B27" s="19">
        <v>1</v>
      </c>
      <c r="C27" s="12">
        <v>1</v>
      </c>
      <c r="D27" s="13" t="s">
        <v>6</v>
      </c>
      <c r="E27" s="14" t="s">
        <v>44</v>
      </c>
      <c r="F27" s="14"/>
      <c r="G27" s="52"/>
      <c r="I27" s="15"/>
    </row>
    <row r="28" spans="1:9" ht="30" x14ac:dyDescent="0.25">
      <c r="A28" s="7">
        <v>43594</v>
      </c>
      <c r="B28" s="19">
        <v>1</v>
      </c>
      <c r="C28" s="12">
        <v>0.75</v>
      </c>
      <c r="D28" s="13" t="s">
        <v>14</v>
      </c>
      <c r="E28" s="14" t="s">
        <v>46</v>
      </c>
      <c r="F28" s="14" t="s">
        <v>51</v>
      </c>
      <c r="G28" s="52"/>
      <c r="I28" s="15"/>
    </row>
    <row r="29" spans="1:9" x14ac:dyDescent="0.25">
      <c r="A29" s="7">
        <v>43594</v>
      </c>
      <c r="B29" s="19">
        <v>1</v>
      </c>
      <c r="C29" s="12">
        <v>1</v>
      </c>
      <c r="D29" s="13" t="s">
        <v>29</v>
      </c>
      <c r="E29" s="14" t="s">
        <v>48</v>
      </c>
      <c r="F29" s="14" t="s">
        <v>49</v>
      </c>
      <c r="G29" s="52"/>
      <c r="I29" s="15"/>
    </row>
    <row r="30" spans="1:9" x14ac:dyDescent="0.25">
      <c r="A30" s="7">
        <v>43594</v>
      </c>
      <c r="B30" s="19">
        <v>1</v>
      </c>
      <c r="C30" s="12">
        <v>1</v>
      </c>
      <c r="D30" s="13" t="s">
        <v>8</v>
      </c>
      <c r="E30" s="14" t="s">
        <v>50</v>
      </c>
      <c r="F30" s="14"/>
      <c r="G30" s="52"/>
      <c r="I30" s="15"/>
    </row>
    <row r="31" spans="1:9" x14ac:dyDescent="0.25">
      <c r="A31" s="7">
        <v>43594</v>
      </c>
      <c r="B31" s="19">
        <v>1</v>
      </c>
      <c r="C31" s="12">
        <v>0.25</v>
      </c>
      <c r="D31" s="13" t="s">
        <v>8</v>
      </c>
      <c r="E31" s="14" t="s">
        <v>52</v>
      </c>
      <c r="F31" s="14"/>
      <c r="G31" s="52"/>
      <c r="I31" s="15"/>
    </row>
    <row r="32" spans="1:9" ht="24" customHeight="1" x14ac:dyDescent="0.25">
      <c r="A32" s="48" t="s">
        <v>54</v>
      </c>
      <c r="B32" s="49"/>
      <c r="C32" s="34">
        <f>SUM(C23:C31)</f>
        <v>6.75</v>
      </c>
      <c r="D32" s="13"/>
      <c r="E32" s="14"/>
      <c r="F32" s="14"/>
      <c r="G32" s="52"/>
      <c r="I32" s="15"/>
    </row>
    <row r="33" spans="1:9" x14ac:dyDescent="0.25">
      <c r="A33" s="11"/>
      <c r="B33" s="11"/>
      <c r="C33" s="11"/>
      <c r="D33" s="11"/>
      <c r="E33" s="11"/>
      <c r="F33" s="11"/>
      <c r="G33"/>
      <c r="I33" s="15"/>
    </row>
    <row r="34" spans="1:9" x14ac:dyDescent="0.25">
      <c r="A34" s="23"/>
      <c r="B34" s="24"/>
      <c r="C34" s="25"/>
      <c r="D34" s="26"/>
      <c r="E34" s="27"/>
      <c r="F34" s="27"/>
      <c r="G34"/>
      <c r="I34" s="15"/>
    </row>
    <row r="35" spans="1:9" ht="15" customHeight="1" x14ac:dyDescent="0.25">
      <c r="A35" s="23"/>
      <c r="B35" s="24"/>
      <c r="C35" s="25"/>
      <c r="D35" s="26"/>
      <c r="E35" s="27"/>
      <c r="F35" s="27"/>
      <c r="G35" s="27"/>
      <c r="I35" s="15"/>
    </row>
    <row r="36" spans="1:9" x14ac:dyDescent="0.25">
      <c r="A36" s="21"/>
    </row>
  </sheetData>
  <sheetProtection selectLockedCells="1"/>
  <mergeCells count="7">
    <mergeCell ref="G23:G32"/>
    <mergeCell ref="A32:B32"/>
    <mergeCell ref="A1:G2"/>
    <mergeCell ref="G16:G22"/>
    <mergeCell ref="G7:G15"/>
    <mergeCell ref="A15:B15"/>
    <mergeCell ref="A22:B22"/>
  </mergeCells>
  <dataValidations count="1">
    <dataValidation type="list" showInputMessage="1" showErrorMessage="1" sqref="D34:D35">
      <formula1>$A$2:$A$15</formula1>
    </dataValidation>
  </dataValidations>
  <pageMargins left="0.7" right="0.7" top="0.75" bottom="0.75" header="0.3" footer="0.3"/>
  <pageSetup paperSize="8"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285750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Paramètres!$A$2:$A$10</xm:f>
          </x14:formula1>
          <xm:sqref>D7:D32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I10"/>
  <sheetViews>
    <sheetView workbookViewId="0">
      <selection activeCell="I10" sqref="I10"/>
    </sheetView>
  </sheetViews>
  <sheetFormatPr baseColWidth="10" defaultRowHeight="15" x14ac:dyDescent="0.25"/>
  <cols>
    <col min="1" max="1" width="23" bestFit="1" customWidth="1"/>
    <col min="2" max="2" width="14.7109375" bestFit="1" customWidth="1"/>
    <col min="3" max="3" width="15.42578125" bestFit="1" customWidth="1"/>
    <col min="4" max="4" width="8.5703125" bestFit="1" customWidth="1"/>
    <col min="5" max="6" width="10.28515625" bestFit="1" customWidth="1"/>
    <col min="7" max="7" width="6.28515625" bestFit="1" customWidth="1"/>
    <col min="8" max="8" width="12.85546875" bestFit="1" customWidth="1"/>
    <col min="9" max="9" width="12.57031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9" x14ac:dyDescent="0.25">
      <c r="A3" s="4" t="s">
        <v>12</v>
      </c>
    </row>
    <row r="4" spans="1:9" x14ac:dyDescent="0.25">
      <c r="B4" t="s">
        <v>8</v>
      </c>
      <c r="C4" t="s">
        <v>6</v>
      </c>
      <c r="D4" t="s">
        <v>14</v>
      </c>
      <c r="E4" t="s">
        <v>18</v>
      </c>
      <c r="F4" t="s">
        <v>29</v>
      </c>
      <c r="G4" t="s">
        <v>37</v>
      </c>
      <c r="H4" t="s">
        <v>42</v>
      </c>
      <c r="I4" t="s">
        <v>10</v>
      </c>
    </row>
    <row r="5" spans="1:9" x14ac:dyDescent="0.25">
      <c r="A5" s="5">
        <v>43592</v>
      </c>
      <c r="B5" s="3">
        <v>2.5</v>
      </c>
      <c r="C5" s="3">
        <v>1</v>
      </c>
      <c r="D5" s="3">
        <v>1.75</v>
      </c>
      <c r="E5" s="3">
        <v>1.25</v>
      </c>
      <c r="F5" s="3"/>
      <c r="G5" s="3"/>
      <c r="H5" s="3"/>
      <c r="I5" s="3">
        <v>6.5</v>
      </c>
    </row>
    <row r="6" spans="1:9" x14ac:dyDescent="0.25">
      <c r="A6" s="5">
        <v>43593</v>
      </c>
      <c r="B6" s="3">
        <v>3</v>
      </c>
      <c r="C6" s="3">
        <v>0.5</v>
      </c>
      <c r="D6" s="3"/>
      <c r="E6" s="3"/>
      <c r="F6" s="3">
        <v>0.5</v>
      </c>
      <c r="G6" s="3"/>
      <c r="H6" s="3"/>
      <c r="I6" s="3">
        <v>4</v>
      </c>
    </row>
    <row r="7" spans="1:9" x14ac:dyDescent="0.25">
      <c r="A7" s="5" t="s">
        <v>37</v>
      </c>
      <c r="B7" s="3"/>
      <c r="C7" s="3"/>
      <c r="D7" s="3"/>
      <c r="E7" s="3"/>
      <c r="F7" s="3"/>
      <c r="G7" s="3"/>
      <c r="H7" s="3"/>
      <c r="I7" s="3"/>
    </row>
    <row r="8" spans="1:9" x14ac:dyDescent="0.25">
      <c r="A8" s="5">
        <v>43594</v>
      </c>
      <c r="B8" s="3">
        <v>1</v>
      </c>
      <c r="C8" s="3">
        <v>1</v>
      </c>
      <c r="D8" s="3">
        <v>0.75</v>
      </c>
      <c r="E8" s="3">
        <v>0.75</v>
      </c>
      <c r="F8" s="3">
        <v>1</v>
      </c>
      <c r="G8" s="3"/>
      <c r="H8" s="3">
        <v>1</v>
      </c>
      <c r="I8" s="3">
        <v>5.5</v>
      </c>
    </row>
    <row r="9" spans="1:9" x14ac:dyDescent="0.25">
      <c r="A9" s="5" t="s">
        <v>45</v>
      </c>
      <c r="B9" s="3"/>
      <c r="C9" s="3"/>
      <c r="D9" s="3"/>
      <c r="E9" s="3"/>
      <c r="F9" s="3"/>
      <c r="G9" s="3">
        <v>10.5</v>
      </c>
      <c r="H9" s="3"/>
      <c r="I9" s="3">
        <v>10.5</v>
      </c>
    </row>
    <row r="10" spans="1:9" x14ac:dyDescent="0.25">
      <c r="A10" s="5" t="s">
        <v>10</v>
      </c>
      <c r="B10" s="3">
        <v>6.5</v>
      </c>
      <c r="C10" s="3">
        <v>2.5</v>
      </c>
      <c r="D10" s="3">
        <v>2.5</v>
      </c>
      <c r="E10" s="3">
        <v>2</v>
      </c>
      <c r="F10" s="3">
        <v>1.5</v>
      </c>
      <c r="G10" s="3">
        <v>10.5</v>
      </c>
      <c r="H10" s="3">
        <v>1</v>
      </c>
      <c r="I10" s="3">
        <v>26.5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10"/>
  <sheetViews>
    <sheetView workbookViewId="0">
      <selection activeCell="A4" sqref="A4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t="s">
        <v>42</v>
      </c>
    </row>
    <row r="4" spans="1:1" x14ac:dyDescent="0.25">
      <c r="A4" t="s">
        <v>29</v>
      </c>
    </row>
    <row r="5" spans="1:1" x14ac:dyDescent="0.25">
      <c r="A5" t="s">
        <v>18</v>
      </c>
    </row>
    <row r="6" spans="1:1" x14ac:dyDescent="0.25">
      <c r="A6" t="s">
        <v>14</v>
      </c>
    </row>
    <row r="7" spans="1:1" x14ac:dyDescent="0.25">
      <c r="A7" s="1" t="s">
        <v>6</v>
      </c>
    </row>
    <row r="8" spans="1:1" x14ac:dyDescent="0.25">
      <c r="A8" s="1" t="s">
        <v>7</v>
      </c>
    </row>
    <row r="9" spans="1:1" x14ac:dyDescent="0.25">
      <c r="A9" s="1" t="s">
        <v>8</v>
      </c>
    </row>
    <row r="10" spans="1:1" x14ac:dyDescent="0.25">
      <c r="A10" s="1" t="s"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19050</xdr:colOff>
                    <xdr:row>10</xdr:row>
                    <xdr:rowOff>19050</xdr:rowOff>
                  </from>
                  <to>
                    <xdr:col>0</xdr:col>
                    <xdr:colOff>990600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2019-05-09T14:35:51Z</dcterms:modified>
</cp:coreProperties>
</file>