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Journal!$A$1:$G$120</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120" i="1" l="1"/>
  <c r="C112" i="1"/>
  <c r="C103" i="1"/>
  <c r="C95" i="1"/>
  <c r="C87" i="1"/>
  <c r="C83" i="1"/>
  <c r="C76" i="1"/>
  <c r="C68" i="1"/>
  <c r="C60" i="1"/>
  <c r="C55" i="1"/>
  <c r="C44" i="1"/>
  <c r="C32" i="1"/>
  <c r="C22" i="1"/>
  <c r="C15" i="1"/>
</calcChain>
</file>

<file path=xl/sharedStrings.xml><?xml version="1.0" encoding="utf-8"?>
<sst xmlns="http://schemas.openxmlformats.org/spreadsheetml/2006/main" count="285" uniqueCount="158">
  <si>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</si>
  <si>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</si>
  <si>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</si>
  <si>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</si>
  <si>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</si>
  <si>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</si>
  <si>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</si>
  <si>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</si>
  <si>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</si>
  <si>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</si>
  <si>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</si>
  <si>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</si>
  <si>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</si>
  <si>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</si>
  <si>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</si>
  <si>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Réalisé par: Kévin PASTEUR</t>
  </si>
  <si>
    <t>Classe: SI-C4B</t>
  </si>
  <si>
    <t>PROJET: ElectroStock</t>
  </si>
  <si>
    <t>Discussion</t>
  </si>
  <si>
    <t>Appréciation critique</t>
  </si>
  <si>
    <t>Mise en place du Trello. Début de création des différents sprints et cartes.</t>
  </si>
  <si>
    <t>Jour normal avec un peu de stress pour ce démarrage</t>
  </si>
  <si>
    <t>Réflexion sur la forme du mail.</t>
  </si>
  <si>
    <t>Réalisation et fin de ma planification initiale.</t>
  </si>
  <si>
    <t>Réalisation de ma planification initiale.</t>
  </si>
  <si>
    <t>Meeting Pré-débrief avec M. Favre.</t>
  </si>
  <si>
    <t>Rencontre avec M. Roy - discussion concernant le cahier des charges et revue du déroulement du TPI.</t>
  </si>
  <si>
    <t>Recherche</t>
  </si>
  <si>
    <t>Réflexion avec Diego Sanchez sur la planification initiale concernants les différents points qui doivent figurer à l'intérieur de ce dernier.</t>
  </si>
  <si>
    <t>Lorsque le dépôt est en privé, il n'y a pas la possibilité de pouvoir empêcher les collaborateurs de le modifier. Je l'ai donc passé en public en enlevant les collaborateurs.</t>
  </si>
  <si>
    <t>Ajout de la partie planification initiale dans mon rapport de projet.</t>
  </si>
  <si>
    <t>Modification de la planification initiale afin de faire apparaître mon nom et le nom du projet dans le document.</t>
  </si>
  <si>
    <t>Recherche d'un template sur internet.</t>
  </si>
  <si>
    <t>Configuration du dépôt git.</t>
  </si>
  <si>
    <t>(vide)</t>
  </si>
  <si>
    <t>Bonne journée quelques soucis avec le dépôt mais résolu rapidement</t>
  </si>
  <si>
    <t>Modélisation</t>
  </si>
  <si>
    <t xml:space="preserve">Recherche de différents sites de gestion d'inventaire. </t>
  </si>
  <si>
    <t>Bonne journée, rien à signaler de spécial</t>
  </si>
  <si>
    <t>Total d'heures journalières</t>
  </si>
  <si>
    <t>Autres</t>
  </si>
  <si>
    <t>Ajout de la partie objectifs et fonctionnalités dans mon rapport de projet.</t>
  </si>
  <si>
    <t>Aide Diego Sanchez pour l'utilisation de son dépôt GIT.</t>
  </si>
  <si>
    <t>Cela m'a permit d'être au clair avec certains points.</t>
  </si>
  <si>
    <t>Solutions retenues : GLPI, ServiceDesk PLUS, Snipe-IT.</t>
  </si>
  <si>
    <t>Différentes solutions s'offrent à moi (JSON, Javascript, API).</t>
  </si>
  <si>
    <t>Aide Joel Matias pour son dépôt bitbucket.</t>
  </si>
  <si>
    <t>Mise en place de la page connexion.</t>
  </si>
  <si>
    <t>Meeting avec M. Favre concernant le stock du laboratoire d'électronique, le cahier des charges et différents points et ma modélisation.</t>
  </si>
  <si>
    <t>Début de rédaction de l'analyse concurrentielle (GLPI et Service desk).</t>
  </si>
  <si>
    <t>Début de réalisation de la maquette connexion.</t>
  </si>
  <si>
    <t>Rédaction de l'analyse concurrentielle (Suite GLPI et Service desk, ajout de snipe-it).</t>
  </si>
  <si>
    <t>Recherche concernant la barre de recherche de matériel et consommable.</t>
  </si>
  <si>
    <t>Rédaction de la partie stratégie de tests.</t>
  </si>
  <si>
    <t>Réalisation des maquettes connexion et inscription.</t>
  </si>
  <si>
    <t>Rédaction de la partie dossier de conception.</t>
  </si>
  <si>
    <t>Réalisation des maquettes accueil et matériel.</t>
  </si>
  <si>
    <t>Rédaction de la charte graphique.</t>
  </si>
  <si>
    <t>Ajout de tâches dans le Trello.</t>
  </si>
  <si>
    <t>Rédaction de la partie choix de la formule d'hébergement.</t>
  </si>
  <si>
    <t>Début de rédaction de la conclusion de l'analyse.</t>
  </si>
  <si>
    <t>Modification de mon MCD en modifiant les types des champs.</t>
  </si>
  <si>
    <t>Réalisation de mon MCD</t>
  </si>
  <si>
    <t>Meeting avec M. Favre concernant la planification et le journal de travail.</t>
  </si>
  <si>
    <t>Mise en forme de mon journal de travail.</t>
  </si>
  <si>
    <t>Bonne journée, Différents points revus, MCD mis à jour</t>
  </si>
  <si>
    <t>Bonne journée, Beaucoup de travail sur la modélisation</t>
  </si>
  <si>
    <t>Review de la semaine avec Monsieur Favre.</t>
  </si>
  <si>
    <t>Modification de mon Trello afin d'ajouter des tests d'acceptations.</t>
  </si>
  <si>
    <t>Réalisation de la maquette (Consommables).</t>
  </si>
  <si>
    <t>Réalisation des maquettes formulaires (Emprunt et octroi).</t>
  </si>
  <si>
    <t>Réalisation des maquettes de la partie administrateur.</t>
  </si>
  <si>
    <t>Aide Roman Ruchat concernant son modèle MVC.</t>
  </si>
  <si>
    <t>Revue des différentes cardinalités et des tables.</t>
  </si>
  <si>
    <t>Ajout de différentes tables (Statuts, Emprunt, Octroi).</t>
  </si>
  <si>
    <t>Aide de la part de Diego Sanchez sur mon MCD.</t>
  </si>
  <si>
    <t>Review d'un point du cahier des charges .</t>
  </si>
  <si>
    <t>Modification de mon MCD .</t>
  </si>
  <si>
    <t>Modification de mon MLD.</t>
  </si>
  <si>
    <t>Création de mon MLD.</t>
  </si>
  <si>
    <t>Review avec Monsieur Favre pour ma version initiale du MCD.</t>
  </si>
  <si>
    <t>Modification de mon MCD et ajout des tables fournisseurs dans ma modélisation.</t>
  </si>
  <si>
    <t>Ajout d'un exemple de couleur dans la charte, modification de contenu de certaines parties (Hébergement, Analyse concurrentielle).</t>
  </si>
  <si>
    <t>Problème concernant l'auto_increment des clés primaires. Résolution : Supprimer la ligne "Strict_trans_table".</t>
  </si>
  <si>
    <t>Faire attention avec la fonction header(Location: ) que les ":" et "Location" soient bien sans espace.</t>
  </si>
  <si>
    <t>Petit souci concernant les icones qui ne s'affichaient pas avec le css donné. Résolution : Le site Font-Awesome proposait leurs icônes par lien au lieu de passer par un "link href css".</t>
  </si>
  <si>
    <t>Ajout de certaines maquettes dans la documentation, Modification de la partie stratégie de test.</t>
  </si>
  <si>
    <t>Ajout d'une description dans la partie Zoning.</t>
  </si>
  <si>
    <t>Création de la base de données et ajout des rôles.</t>
  </si>
  <si>
    <t>Création de la fonctionnalité "Inscription".</t>
  </si>
  <si>
    <t>Création de la fonctionnalité "Connexion".</t>
  </si>
  <si>
    <t>Création du gabarit et de la page d'accueil.</t>
  </si>
  <si>
    <t>Bonne journée dans l'ensemble, Quelques soucis de démarrages résolus rapidement</t>
  </si>
  <si>
    <t>Ajout de données dans le script.</t>
  </si>
  <si>
    <t>Réalisation de l'accueil avec l'ajout des totaux du matériel et des consommables et ajout d'un graphique pour avoir le nombre disponible et indisponible de matériel et consommables.</t>
  </si>
  <si>
    <t>Ajout de données dans le script. Afin d'avoir du matériel et des consommables.</t>
  </si>
  <si>
    <t>Réalisation de la page du matériel afin d'avoir tout le matériel qu'il soit disponible ou non.</t>
  </si>
  <si>
    <t>J'ai eu un souci concernant mes tables lors de l'exécution de mon script. PHPMyAdmin remplace les lettres minuscules du début des tables par des majuscules. J'ai donc remplacé dans mon code les endroits où il y avait des minuscules par des majuscules et j'ai modifié mon script en conséquence.</t>
  </si>
  <si>
    <t>Jour normal avec quelques soucis au niveau de la mise en ligne de mon site et avec l'implémentation des graphiques</t>
  </si>
  <si>
    <t>Mise en ligne de mon site sur Swisscenter.</t>
  </si>
  <si>
    <t>Ajout de maquettes dans ma documentation.</t>
  </si>
  <si>
    <t>Ajout d'une sécurité afin qu'aucun utilisateur non authentifié ne puisse accéder au site.</t>
  </si>
  <si>
    <t>Je me suis aidé de l'API de google afin de pouvoir réaliser mes graphiques. J'ai aussi cherché une façon de pouvoir directement faire la soustraction des résultats de mes requêtes à l'intérieur de ces dernière mais j'ai finalement effectué les calculs dans mon contrôleur.</t>
  </si>
  <si>
    <t>Création du formulaire d'emprunt de matériel avec une recherche dynamique qui lors de l'entrée d'une catégorie ne va afficher que les modèles qui correspondent.</t>
  </si>
  <si>
    <t>Problème avec le fichier getBD qui était redeclaré dans mon fichier de recherche dynamique. Résolution -&gt; Ne pas déclarer le fichier de recherche dans le controleur.</t>
  </si>
  <si>
    <t>Débug de la page du formulaire d'emprunt de matériel. Le formulaire affiche en double les différentes catégories.</t>
  </si>
  <si>
    <t>Le problème vient du distinct qui coublé à ma condition ne permet pas de les rassembler.</t>
  </si>
  <si>
    <t>Mise en ligne de mon site.</t>
  </si>
  <si>
    <t>Création de la page contenant les demande "En cours" , "En attente",  "Archivé".</t>
  </si>
  <si>
    <t>Mise en forme de mon site.</t>
  </si>
  <si>
    <t>Ajout des fonctions pour accepter ou refuser les demandes d'emprunt</t>
  </si>
  <si>
    <t>Jour OK. Quelques problèmes avec les requêtes.</t>
  </si>
  <si>
    <t>Modification de ma base de données sur la table matériel avec l'ajout d'un champ statut pour savoir l'état du matériel et ajout dans la documentation.</t>
  </si>
  <si>
    <t>Jour OK</t>
  </si>
  <si>
    <t>Modification dans le code afin que les emprunts se fassent correctement.</t>
  </si>
  <si>
    <t>Modification du MCD, MLD et du script.</t>
  </si>
  <si>
    <t>Meeting avec M. Favre concernant le MLD et la documentation.</t>
  </si>
  <si>
    <t>Implémentation de la page d'archive des emprunts.</t>
  </si>
  <si>
    <t>Implémentation de la fonctionnalité Check-out.</t>
  </si>
  <si>
    <t>Modification de mon introduction.</t>
  </si>
  <si>
    <t>Rédaction du résumé des sprints de Trello.</t>
  </si>
  <si>
    <t>Discussion avec M. Favre concernant les sprints .</t>
  </si>
  <si>
    <t>Implémentation de la fonctionnalité recherche.</t>
  </si>
  <si>
    <t>Modification de mon rapport avec la modification de la conclusion de l'analyse, de différents scénarii,du MCD et MLD.</t>
  </si>
  <si>
    <t>Bonne journée.</t>
  </si>
  <si>
    <t>Rajout de la partie "Contexte"</t>
  </si>
  <si>
    <t>Utilisation d'un code trouvé en ligne avec référence au code dans le projet. (La recherche ne s'effectue pas sur une autre page mais le bloc tout le matériel est remplacé par la recherche. La recherche ne se fait uniquement par le modèle)</t>
  </si>
  <si>
    <t>Review de l'avancement du TPI et de la suite du projet avec M. Ceran.</t>
  </si>
  <si>
    <t>Modification dans le formulaire d'emprunt afin que lorsque il n'y ait plus de matériel disponible la catégorie ne s'affiche pas.</t>
  </si>
  <si>
    <t>Sécurisation de mes champs inscriptions à l'aide des "Pattern".</t>
  </si>
  <si>
    <t>Ajout de la fonctionnalité "Rappel" lorsque un emprunt a sa date de retour dépassée.</t>
  </si>
  <si>
    <t>Test de la fonctionnalité "Rappel" sur le site mis en ligne (SwissCenter)</t>
  </si>
  <si>
    <t>Implémentation de la fonctionnalité "Ajouter un matériel"</t>
  </si>
  <si>
    <t>Implémentation de la fonctionnalité "Consommables"</t>
  </si>
  <si>
    <t>Implémentation de la fonction "Recherche de consommable"</t>
  </si>
  <si>
    <t>Ajout du champ limite dans la table Comptes</t>
  </si>
  <si>
    <t>Permet aux responsables des stocks de fixer une limite d'exemplaire de consommable qui ne doit pas être dépassé, si tel est le cas il recevra un mail pour lui rappeler de commander ce consommable</t>
  </si>
  <si>
    <t>Implémentation de la fonctionnalité "Formulaire d'octroi"</t>
  </si>
  <si>
    <t>Visionnage d'un tuto sur l'ajout d'input</t>
  </si>
  <si>
    <t>https://www.youtube.com/watch?v=rVmZXJj5lH0</t>
  </si>
  <si>
    <t xml:space="preserve">Afin de pouvoir créer des nouveaux champs lorsque le bouton "+" est cliqué, je me suis aidé de ce code : https://www.webslesson.info/p/source-code-of-dynamically-add-or.html et l'utilisation de la vidéo. </t>
  </si>
  <si>
    <t>Implémentation de la fonction "Ajout d'un consommable au formulaire"</t>
  </si>
  <si>
    <t>Problème concernant l'ajout de nouveaux champs à la suite du formulaire déjà existant. Pour résoudre ce problème, un script jquery lors du clic sur le bouton "+" est lancé permettant de faire afficher une page avec la suite du formulaire.</t>
  </si>
  <si>
    <t>Implémentation de la fonction "Recherche dynamique sur la liste du nouveau formulaire"</t>
  </si>
  <si>
    <t>Lors de la modification de la catégorie du premier formulaire, le champ modèle du 2ème formulaire est modifié. Afin de résoudre ce problème l'utilisation du variable de stockage est utilisée pour savoir qu'elle input est à modifier.</t>
  </si>
  <si>
    <t>Débug de la recherche dynamique</t>
  </si>
  <si>
    <t>L'utilisation d'une variable javascript ne permet pas l'incrémentation correctement, alors que l'utilisation d'une variable php permet d'incrémenter.</t>
  </si>
  <si>
    <t>Mise à jour du site en ligne</t>
  </si>
  <si>
    <t>Journée compliquée avec pas mal de problèmes concernant le formulaire des consommables</t>
  </si>
  <si>
    <t xml:space="preserve">Meeting avec Monsieur Favre. </t>
  </si>
  <si>
    <t>Modification de mon MLD changement de cardinalités entre emprunt et statut</t>
  </si>
  <si>
    <t>Modification de ma documentation, introduction</t>
  </si>
  <si>
    <t>Modification de ma base de données ajout d'un champ limite à consommable et changement de cardinalité</t>
  </si>
  <si>
    <t>Implémentation de la fonctionnalité "Mes demande d'emprunt"</t>
  </si>
  <si>
    <t>Enlevé dans le menu tout le matériel, les boutons panier,modifier,supprimer si le matériel est indisponible</t>
  </si>
  <si>
    <t>Date modif: 29.05.2019</t>
  </si>
  <si>
    <t>Implémentation de la page "Demandes d'octroi"</t>
  </si>
  <si>
    <t>Bonne journée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</si>
</sst>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sz val="11"/>
      <color rgb="FF9C6500"/>
      <name val="Calibri"/>
      <family val="2"/>
      <scheme val="minor"/>
    </font>
    <font>
      <sz val="11"/>
      <color rgb="FF006100"/>
      <name val="Calibri"/>
      <family val="2"/>
      <scheme val="minor"/>
    </font>
    <font>
      <b/>
      <sz val="11"/>
      <color rgb="FFFA7D00"/>
      <name val="Calibri"/>
      <family val="2"/>
      <scheme val="minor"/>
    </font>
    <font>
      <sz val="11"/>
      <name val="Calibri"/>
      <family val="2"/>
      <scheme val="minor"/>
    </font>
    <font>
      <u/>
      <sz val="11"/>
      <color theme="10"/>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rgb="FFFFEB9C"/>
      </patternFill>
    </fill>
    <fill>
      <patternFill patternType="solid">
        <fgColor rgb="FFC6EFCE"/>
      </patternFill>
    </fill>
    <fill>
      <patternFill patternType="solid">
        <fgColor rgb="FFF2F2F2"/>
      </patternFill>
    </fill>
    <fill>
      <patternFill patternType="solid">
        <fgColor theme="6" tint="0.59999389629810485"/>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bottom style="thin">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5">
    <xf numFmtId="0" fontId="0" fillId="0" borderId="0"/>
    <xf numFmtId="0" fontId="6" fillId="3" borderId="0" applyNumberFormat="0" applyBorder="0" applyAlignment="0" applyProtection="0"/>
    <xf numFmtId="0" fontId="7" fillId="4" borderId="0" applyNumberFormat="0" applyBorder="0" applyAlignment="0" applyProtection="0"/>
    <xf numFmtId="0" fontId="8" fillId="5" borderId="5" applyNumberFormat="0" applyAlignment="0" applyProtection="0"/>
    <xf numFmtId="0" fontId="10" fillId="0" borderId="0" applyNumberFormat="0" applyFill="0" applyBorder="0" applyAlignment="0" applyProtection="0"/>
  </cellStyleXfs>
  <cellXfs count="6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wrapText="1"/>
      <protection locked="0"/>
    </xf>
    <xf numFmtId="0" fontId="4" fillId="0" borderId="6" xfId="0" applyFont="1" applyBorder="1"/>
    <xf numFmtId="0" fontId="4" fillId="0" borderId="12" xfId="0" applyFont="1" applyBorder="1"/>
    <xf numFmtId="0" fontId="4" fillId="0" borderId="12" xfId="0" applyFont="1" applyBorder="1" applyAlignment="1"/>
    <xf numFmtId="0" fontId="4" fillId="0" borderId="12" xfId="0" applyFont="1" applyBorder="1" applyAlignment="1">
      <alignment horizontal="left"/>
    </xf>
    <xf numFmtId="0" fontId="4" fillId="0" borderId="13" xfId="0" applyFont="1" applyBorder="1"/>
    <xf numFmtId="1" fontId="0" fillId="0" borderId="15" xfId="0" applyNumberFormat="1" applyBorder="1" applyAlignment="1" applyProtection="1">
      <alignment horizontal="center" vertical="center"/>
    </xf>
    <xf numFmtId="2" fontId="8" fillId="2" borderId="1" xfId="3" applyNumberFormat="1"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0" fillId="2" borderId="1" xfId="0" applyFill="1" applyBorder="1" applyAlignment="1" applyProtection="1">
      <alignment horizontal="left" vertical="center" wrapText="1"/>
      <protection locked="0"/>
    </xf>
    <xf numFmtId="2" fontId="8" fillId="2" borderId="5" xfId="3" applyNumberFormat="1" applyFill="1" applyAlignment="1" applyProtection="1">
      <alignment horizontal="center" vertical="center"/>
      <protection locked="0"/>
    </xf>
    <xf numFmtId="2" fontId="9" fillId="0" borderId="5" xfId="3" applyNumberFormat="1" applyFont="1" applyFill="1" applyAlignment="1" applyProtection="1">
      <alignment horizontal="center" vertical="center"/>
      <protection locked="0"/>
    </xf>
    <xf numFmtId="16" fontId="0" fillId="0" borderId="14" xfId="0" applyNumberFormat="1" applyBorder="1" applyAlignment="1" applyProtection="1">
      <alignment horizontal="center" vertical="center"/>
    </xf>
    <xf numFmtId="0" fontId="10" fillId="0" borderId="1" xfId="4" applyBorder="1" applyAlignment="1" applyProtection="1">
      <alignment horizontal="left" vertical="center" wrapText="1"/>
      <protection locked="0"/>
    </xf>
    <xf numFmtId="0" fontId="7" fillId="4" borderId="2" xfId="2" applyBorder="1" applyAlignment="1">
      <alignment horizontal="center" vertical="center" wrapText="1"/>
    </xf>
    <xf numFmtId="0" fontId="7" fillId="4" borderId="3" xfId="2" applyBorder="1" applyAlignment="1">
      <alignment horizontal="center" vertical="center" wrapText="1"/>
    </xf>
    <xf numFmtId="0" fontId="7" fillId="4" borderId="4" xfId="2" applyBorder="1" applyAlignment="1">
      <alignment horizontal="center" vertical="center" wrapText="1"/>
    </xf>
    <xf numFmtId="1" fontId="0" fillId="2" borderId="14" xfId="0" applyNumberFormat="1" applyFill="1" applyBorder="1" applyAlignment="1" applyProtection="1">
      <alignment horizontal="center" vertical="center"/>
    </xf>
    <xf numFmtId="1" fontId="0" fillId="2" borderId="15" xfId="0" applyNumberFormat="1" applyFill="1" applyBorder="1" applyAlignment="1" applyProtection="1">
      <alignment horizontal="center" vertical="center"/>
    </xf>
    <xf numFmtId="0" fontId="7" fillId="4" borderId="2" xfId="2" applyFont="1" applyBorder="1" applyAlignment="1">
      <alignment horizontal="center" vertical="center" wrapText="1"/>
    </xf>
    <xf numFmtId="0" fontId="7" fillId="4" borderId="3" xfId="2" applyFont="1" applyBorder="1" applyAlignment="1">
      <alignment horizontal="center" vertical="center" wrapText="1"/>
    </xf>
    <xf numFmtId="0" fontId="7" fillId="4" borderId="4" xfId="2" applyFont="1" applyBorder="1" applyAlignment="1">
      <alignment horizontal="center" vertical="center" wrapText="1"/>
    </xf>
    <xf numFmtId="0" fontId="6" fillId="3" borderId="2" xfId="1" applyBorder="1" applyAlignment="1">
      <alignment horizontal="center" vertical="center" wrapText="1"/>
    </xf>
    <xf numFmtId="0" fontId="6" fillId="3" borderId="3" xfId="1" applyBorder="1" applyAlignment="1">
      <alignment horizontal="center" vertical="center" wrapText="1"/>
    </xf>
    <xf numFmtId="0" fontId="3" fillId="6" borderId="8" xfId="0" applyFont="1" applyFill="1" applyBorder="1" applyAlignment="1">
      <alignment horizontal="center"/>
    </xf>
    <xf numFmtId="0" fontId="3" fillId="6" borderId="9" xfId="0" applyFont="1" applyFill="1" applyBorder="1" applyAlignment="1">
      <alignment horizontal="center"/>
    </xf>
    <xf numFmtId="0" fontId="3" fillId="6" borderId="10" xfId="0" applyFont="1" applyFill="1" applyBorder="1" applyAlignment="1">
      <alignment horizontal="center"/>
    </xf>
    <xf numFmtId="0" fontId="3" fillId="6" borderId="7" xfId="0" applyFont="1" applyFill="1" applyBorder="1" applyAlignment="1">
      <alignment horizontal="center"/>
    </xf>
    <xf numFmtId="0" fontId="3" fillId="6" borderId="0" xfId="0" applyFont="1" applyFill="1" applyBorder="1" applyAlignment="1">
      <alignment horizontal="center"/>
    </xf>
    <xf numFmtId="0" fontId="3" fillId="6" borderId="11" xfId="0" applyFont="1" applyFill="1" applyBorder="1" applyAlignment="1">
      <alignment horizontal="center"/>
    </xf>
    <xf numFmtId="0" fontId="6" fillId="3" borderId="4" xfId="1" applyBorder="1" applyAlignment="1">
      <alignment horizontal="center" vertical="center" wrapText="1"/>
    </xf>
    <xf numFmtId="0" fontId="7" fillId="4" borderId="2" xfId="2" applyBorder="1" applyAlignment="1" applyProtection="1">
      <alignment horizontal="center" vertical="center" wrapText="1"/>
      <protection locked="0"/>
    </xf>
    <xf numFmtId="0" fontId="7" fillId="4" borderId="3" xfId="2" applyBorder="1" applyAlignment="1" applyProtection="1">
      <alignment horizontal="center" vertical="center" wrapText="1"/>
      <protection locked="0"/>
    </xf>
    <xf numFmtId="0" fontId="7" fillId="4" borderId="4" xfId="2" applyBorder="1" applyAlignment="1" applyProtection="1">
      <alignment horizontal="center" vertical="center" wrapText="1"/>
      <protection locked="0"/>
    </xf>
  </cellXfs>
  <cellStyles count="5">
    <cellStyle name="Calcul" xfId="3" builtinId="22"/>
    <cellStyle name="Lien hypertexte" xfId="4" builtinId="8"/>
    <cellStyle name="Neutre" xfId="1" builtinId="28"/>
    <cellStyle name="Normal" xfId="0" builtinId="0"/>
    <cellStyle name="Satisfaisant" xfId="2" builtinId="2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990600</xdr:colOff>
          <xdr:row>12</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09.616062962959" createdVersion="6" refreshedVersion="6" minRefreshableVersion="3" recordCount="97">
  <cacheSource type="worksheet">
    <worksheetSource ref="A6:E120" sheet="Journal"/>
  </cacheSource>
  <cacheFields count="5">
    <cacheField name="Jour" numFmtId="0">
      <sharedItems containsDate="1" containsBlank="1" containsMixedTypes="1" minDate="2019-05-07T00:00:00" maxDate="2019-05-25T00:00:00" count="15">
        <d v="2019-05-07T00:00:00"/>
        <s v="Total d'heures journalières"/>
        <d v="2019-05-08T00:00:00"/>
        <d v="2019-05-09T00:00:00"/>
        <d v="2019-05-10T00:00:00"/>
        <d v="2019-05-14T00:00:00"/>
        <d v="2019-05-15T00:00:00"/>
        <d v="2019-05-16T00:00:00"/>
        <d v="2019-05-17T00:00:00"/>
        <d v="2019-05-21T00:00:00"/>
        <d v="2019-05-22T00:00:00"/>
        <d v="2019-05-23T00:00:00"/>
        <d v="2019-05-24T00:00:00"/>
        <m u="1"/>
        <s v="Total d'heures journalier" u="1"/>
      </sharedItems>
    </cacheField>
    <cacheField name="Semaine" numFmtId="1">
      <sharedItems containsString="0" containsBlank="1" containsNumber="1" containsInteger="1" minValue="1" maxValue="3"/>
    </cacheField>
    <cacheField name="Temps [h]" numFmtId="2">
      <sharedItems containsSemiMixedTypes="0" containsString="0" containsNumber="1" minValue="0.25" maxValue="6.75"/>
    </cacheField>
    <cacheField name="Type" numFmtId="0">
      <sharedItems containsBlank="1" count="9">
        <s v="Meeting"/>
        <s v="Documentation"/>
        <s v="Discussion"/>
        <s v="Implémentation"/>
        <m/>
        <s v="Recherche"/>
        <s v="Modélisation"/>
        <s v="Autres"/>
        <s v="Tests"/>
      </sharedItems>
    </cacheField>
    <cacheField name="Descriptio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7">
  <r>
    <x v="0"/>
    <n v="1"/>
    <n v="0.75"/>
    <x v="0"/>
    <s v="Rencontre avec M. Roy - discussion concernant le cahier des charges et revue du déroulement du TPI."/>
  </r>
  <r>
    <x v="0"/>
    <n v="1"/>
    <n v="0.25"/>
    <x v="0"/>
    <s v="Meeting Pré-débrief avec M. Favre."/>
  </r>
  <r>
    <x v="0"/>
    <n v="1"/>
    <n v="1"/>
    <x v="1"/>
    <s v="Réalisation de ma planification initiale."/>
  </r>
  <r>
    <x v="0"/>
    <n v="1"/>
    <n v="0.75"/>
    <x v="2"/>
    <s v="Réflexion avec Diego Sanchez sur la planification initiale concernants les différents points qui doivent figurer à l'intérieur de ce dernier."/>
  </r>
  <r>
    <x v="0"/>
    <n v="1"/>
    <n v="1"/>
    <x v="3"/>
    <s v="Mise en place du Trello. Début de création des différents sprints et cartes."/>
  </r>
  <r>
    <x v="0"/>
    <n v="1"/>
    <n v="0.75"/>
    <x v="0"/>
    <s v="Meeting avec M. Favre concernant la planification et le journal de travail."/>
  </r>
  <r>
    <x v="0"/>
    <n v="1"/>
    <n v="1.5"/>
    <x v="1"/>
    <s v="Réalisation et fin de ma planification initiale."/>
  </r>
  <r>
    <x v="0"/>
    <n v="1"/>
    <n v="0.5"/>
    <x v="2"/>
    <s v="Réflexion sur la forme du mail."/>
  </r>
  <r>
    <x v="1"/>
    <m/>
    <n v="6.5"/>
    <x v="4"/>
    <m/>
  </r>
  <r>
    <x v="2"/>
    <n v="1"/>
    <n v="0.75"/>
    <x v="1"/>
    <s v="Mise en forme de mon journal de travail."/>
  </r>
  <r>
    <x v="2"/>
    <n v="1"/>
    <n v="0.5"/>
    <x v="3"/>
    <s v="Configuration du dépôt git."/>
  </r>
  <r>
    <x v="2"/>
    <n v="1"/>
    <n v="1.5"/>
    <x v="1"/>
    <s v="Réalisation de mon MCD"/>
  </r>
  <r>
    <x v="2"/>
    <n v="1"/>
    <n v="0.5"/>
    <x v="5"/>
    <s v="Recherche d'un template sur internet."/>
  </r>
  <r>
    <x v="2"/>
    <n v="1"/>
    <n v="0.25"/>
    <x v="1"/>
    <s v="Modification de la planification initiale afin de faire apparaître mon nom et le nom du projet dans le document."/>
  </r>
  <r>
    <x v="2"/>
    <n v="1"/>
    <n v="0.5"/>
    <x v="1"/>
    <s v="Ajout de la partie planification initiale dans mon rapport de projet."/>
  </r>
  <r>
    <x v="1"/>
    <m/>
    <n v="4"/>
    <x v="4"/>
    <m/>
  </r>
  <r>
    <x v="3"/>
    <n v="1"/>
    <n v="1"/>
    <x v="1"/>
    <s v="Ajout de la partie objectifs et fonctionnalités dans mon rapport de projet."/>
  </r>
  <r>
    <x v="3"/>
    <n v="1"/>
    <n v="0.5"/>
    <x v="2"/>
    <s v="Aide Diego Sanchez pour l'utilisation de son dépôt GIT."/>
  </r>
  <r>
    <x v="3"/>
    <n v="1"/>
    <n v="1"/>
    <x v="6"/>
    <s v="Modification de mon MCD en modifiant les types des champs."/>
  </r>
  <r>
    <x v="3"/>
    <n v="1"/>
    <n v="0.25"/>
    <x v="2"/>
    <s v="Aide Joel Matias pour son dépôt bitbucket."/>
  </r>
  <r>
    <x v="3"/>
    <n v="1"/>
    <n v="1"/>
    <x v="3"/>
    <s v="Mise en place de la page connexion."/>
  </r>
  <r>
    <x v="3"/>
    <n v="1"/>
    <n v="0.75"/>
    <x v="0"/>
    <s v="Meeting avec M. Favre concernant le stock du laboratoire d'électronique, le cahier des charges et différents points et ma modélisation."/>
  </r>
  <r>
    <x v="3"/>
    <n v="1"/>
    <n v="1"/>
    <x v="5"/>
    <s v="Recherche de différents sites de gestion d'inventaire. "/>
  </r>
  <r>
    <x v="3"/>
    <n v="1"/>
    <n v="1"/>
    <x v="1"/>
    <s v="Début de rédaction de l'analyse concurrentielle (GLPI et Service desk)."/>
  </r>
  <r>
    <x v="3"/>
    <n v="1"/>
    <n v="0.25"/>
    <x v="1"/>
    <s v="Début de réalisation de la maquette connexion."/>
  </r>
  <r>
    <x v="1"/>
    <m/>
    <n v="6.75"/>
    <x v="4"/>
    <m/>
  </r>
  <r>
    <x v="4"/>
    <n v="1"/>
    <n v="0.5"/>
    <x v="1"/>
    <s v="Rédaction de l'analyse concurrentielle (Suite GLPI et Service desk, ajout de snipe-it)."/>
  </r>
  <r>
    <x v="4"/>
    <n v="1"/>
    <n v="0.25"/>
    <x v="5"/>
    <s v="Recherche concernant la barre de recherche de matériel et consommable."/>
  </r>
  <r>
    <x v="4"/>
    <n v="1"/>
    <n v="0.5"/>
    <x v="1"/>
    <s v="Rédaction de la partie stratégie de tests."/>
  </r>
  <r>
    <x v="4"/>
    <n v="1"/>
    <n v="0.75"/>
    <x v="1"/>
    <s v="Réalisation des maquettes connexion et inscription."/>
  </r>
  <r>
    <x v="4"/>
    <n v="1"/>
    <n v="0.75"/>
    <x v="1"/>
    <s v="Rédaction de la partie dossier de conception."/>
  </r>
  <r>
    <x v="4"/>
    <n v="1"/>
    <n v="0.75"/>
    <x v="1"/>
    <s v="Réalisation des maquettes accueil et matériel."/>
  </r>
  <r>
    <x v="4"/>
    <n v="1"/>
    <n v="0.5"/>
    <x v="1"/>
    <s v="Rédaction de la charte graphique."/>
  </r>
  <r>
    <x v="4"/>
    <n v="1"/>
    <n v="0.5"/>
    <x v="1"/>
    <s v="Ajout de tâches dans le Trello."/>
  </r>
  <r>
    <x v="4"/>
    <n v="1"/>
    <n v="0.25"/>
    <x v="2"/>
    <s v="Aide Diego Sanchez pour l'utilisation de son dépôt GIT."/>
  </r>
  <r>
    <x v="4"/>
    <n v="1"/>
    <n v="0.25"/>
    <x v="1"/>
    <s v="Rédaction de la partie choix de la formule d'hébergement."/>
  </r>
  <r>
    <x v="4"/>
    <n v="1"/>
    <n v="0.25"/>
    <x v="1"/>
    <s v="Début de rédaction de la conclusion de l'analyse."/>
  </r>
  <r>
    <x v="1"/>
    <m/>
    <n v="5.25"/>
    <x v="4"/>
    <m/>
  </r>
  <r>
    <x v="5"/>
    <n v="2"/>
    <n v="1"/>
    <x v="0"/>
    <s v="Review de la semaine avec Monsieur Favre."/>
  </r>
  <r>
    <x v="5"/>
    <n v="2"/>
    <n v="0.5"/>
    <x v="1"/>
    <s v="Modification de mon Trello afin d'ajouter des tests d'acceptations."/>
  </r>
  <r>
    <x v="5"/>
    <n v="2"/>
    <n v="0.5"/>
    <x v="1"/>
    <s v="Réalisation de la maquette (Consommables)."/>
  </r>
  <r>
    <x v="5"/>
    <n v="2"/>
    <n v="1"/>
    <x v="1"/>
    <s v="Réalisation des maquettes formulaires (Emprunt et octroi)."/>
  </r>
  <r>
    <x v="5"/>
    <n v="2"/>
    <n v="1"/>
    <x v="1"/>
    <s v="Réalisation des maquettes de la partie administrateur."/>
  </r>
  <r>
    <x v="5"/>
    <n v="2"/>
    <n v="0.5"/>
    <x v="7"/>
    <s v="Aide Roman Ruchat concernant son modèle MVC."/>
  </r>
  <r>
    <x v="5"/>
    <n v="2"/>
    <n v="0.25"/>
    <x v="7"/>
    <s v="Aide de la part de Diego Sanchez sur mon MCD."/>
  </r>
  <r>
    <x v="5"/>
    <n v="2"/>
    <n v="0.5"/>
    <x v="0"/>
    <s v="Review d'un point du cahier des charges ."/>
  </r>
  <r>
    <x v="5"/>
    <n v="2"/>
    <n v="1"/>
    <x v="6"/>
    <s v="Modification de mon MCD ."/>
  </r>
  <r>
    <x v="5"/>
    <n v="2"/>
    <n v="0.5"/>
    <x v="6"/>
    <s v="Modification de mon MLD."/>
  </r>
  <r>
    <x v="1"/>
    <m/>
    <n v="6.75"/>
    <x v="4"/>
    <m/>
  </r>
  <r>
    <x v="6"/>
    <n v="2"/>
    <n v="0.5"/>
    <x v="1"/>
    <s v="Ajout d'un exemple de couleur dans la charte, modification de contenu de certaines parties (Hébergement, Analyse concurrentielle)."/>
  </r>
  <r>
    <x v="6"/>
    <n v="2"/>
    <n v="1.5"/>
    <x v="6"/>
    <s v="Modification de mon MCD et ajout des tables fournisseurs dans ma modélisation."/>
  </r>
  <r>
    <x v="6"/>
    <n v="2"/>
    <n v="0.5"/>
    <x v="0"/>
    <s v="Review avec Monsieur Favre pour ma version initiale du MCD."/>
  </r>
  <r>
    <x v="6"/>
    <n v="2"/>
    <n v="1.5"/>
    <x v="6"/>
    <s v="Création de mon MLD."/>
  </r>
  <r>
    <x v="1"/>
    <m/>
    <n v="4"/>
    <x v="4"/>
    <m/>
  </r>
  <r>
    <x v="7"/>
    <n v="2"/>
    <n v="0.25"/>
    <x v="1"/>
    <s v="Ajout d'une description dans la partie Zoning."/>
  </r>
  <r>
    <x v="7"/>
    <n v="2"/>
    <n v="1"/>
    <x v="1"/>
    <s v="Ajout de certaines maquettes dans la documentation, Modification de la partie stratégie de test."/>
  </r>
  <r>
    <x v="7"/>
    <n v="2"/>
    <n v="0.5"/>
    <x v="6"/>
    <s v="Création de la base de données et ajout des rôles."/>
  </r>
  <r>
    <x v="7"/>
    <n v="2"/>
    <n v="1.5"/>
    <x v="3"/>
    <s v="Création de la fonctionnalité &quot;Inscription&quot;."/>
  </r>
  <r>
    <x v="7"/>
    <n v="2"/>
    <n v="1.5"/>
    <x v="3"/>
    <s v="Création de la fonctionnalité &quot;Connexion&quot;."/>
  </r>
  <r>
    <x v="7"/>
    <n v="2"/>
    <n v="1"/>
    <x v="3"/>
    <s v="Création du gabarit et de la page d'accueil."/>
  </r>
  <r>
    <x v="7"/>
    <n v="2"/>
    <n v="1"/>
    <x v="6"/>
    <s v="Ajout de données dans le script."/>
  </r>
  <r>
    <x v="1"/>
    <m/>
    <n v="6.75"/>
    <x v="4"/>
    <m/>
  </r>
  <r>
    <x v="8"/>
    <n v="2"/>
    <n v="1.5"/>
    <x v="3"/>
    <s v="Réalisation de l'accueil avec l'ajout des totaux du matériel et des consommables et ajout d'un graphique pour avoir le nombre disponible et indisponible de matériel et consommables."/>
  </r>
  <r>
    <x v="8"/>
    <n v="2"/>
    <n v="0.5"/>
    <x v="6"/>
    <s v="Ajout de données dans le script. Afin d'avoir du matériel et des consommables."/>
  </r>
  <r>
    <x v="8"/>
    <n v="2"/>
    <n v="1.25"/>
    <x v="3"/>
    <s v="Réalisation de la page du matériel afin d'avoir tout le matériel qu'il soit disponible ou non."/>
  </r>
  <r>
    <x v="8"/>
    <n v="2"/>
    <n v="0.5"/>
    <x v="1"/>
    <s v="Ajout de maquettes dans ma documentation."/>
  </r>
  <r>
    <x v="8"/>
    <n v="2"/>
    <n v="0.75"/>
    <x v="3"/>
    <s v="Mise en ligne de mon site sur Swisscenter."/>
  </r>
  <r>
    <x v="8"/>
    <n v="2"/>
    <n v="0.5"/>
    <x v="3"/>
    <s v="Ajout d'une sécurité afin qu'aucun utilisateur non authentifié ne puisse accéder au site."/>
  </r>
  <r>
    <x v="8"/>
    <n v="2"/>
    <n v="0.25"/>
    <x v="3"/>
    <s v="Mise en forme de mon site."/>
  </r>
  <r>
    <x v="1"/>
    <m/>
    <n v="5.25"/>
    <x v="4"/>
    <m/>
  </r>
  <r>
    <x v="9"/>
    <n v="3"/>
    <n v="2"/>
    <x v="3"/>
    <s v="Création du formulaire d'emprunt de matériel avec une recherche dynamique qui lors de l'entrée d'une catégorie ne va afficher que les modèles qui correspondent."/>
  </r>
  <r>
    <x v="9"/>
    <n v="3"/>
    <n v="1.5"/>
    <x v="3"/>
    <s v="Création de la page contenant les demande &quot;En cours&quot; , &quot;En attente&quot;,  &quot;Archivé&quot;."/>
  </r>
  <r>
    <x v="9"/>
    <n v="3"/>
    <n v="1.25"/>
    <x v="3"/>
    <s v="Débug de la page du formulaire d'emprunt de matériel. Le formulaire affiche en double les différentes catégories."/>
  </r>
  <r>
    <x v="9"/>
    <n v="3"/>
    <n v="0.5"/>
    <x v="3"/>
    <s v="Mise en ligne de mon site."/>
  </r>
  <r>
    <x v="9"/>
    <n v="3"/>
    <n v="0.75"/>
    <x v="3"/>
    <s v="Ajout des fonctions pour accepter ou refuser les demandes d'emprunt"/>
  </r>
  <r>
    <x v="9"/>
    <n v="3"/>
    <n v="0.75"/>
    <x v="6"/>
    <s v="Modification de ma base de données sur la table matériel avec l'ajout d'un champ statut pour savoir l'état du matériel et ajout dans la documentation."/>
  </r>
  <r>
    <x v="1"/>
    <m/>
    <n v="6.75"/>
    <x v="4"/>
    <m/>
  </r>
  <r>
    <x v="10"/>
    <n v="3"/>
    <n v="1.5"/>
    <x v="0"/>
    <s v="Meeting avec M. Favre concernant le MLD et la documentation."/>
  </r>
  <r>
    <x v="10"/>
    <n v="3"/>
    <n v="1.5"/>
    <x v="6"/>
    <s v="Modification du MCD, MLD et du script."/>
  </r>
  <r>
    <x v="10"/>
    <n v="3"/>
    <n v="1"/>
    <x v="3"/>
    <s v="Modification dans le code afin que les emprunts se fassent correctement."/>
  </r>
  <r>
    <x v="1"/>
    <m/>
    <n v="4"/>
    <x v="4"/>
    <m/>
  </r>
  <r>
    <x v="11"/>
    <n v="3"/>
    <n v="1.5"/>
    <x v="1"/>
    <s v="Modification de mon rapport avec la modification de la conclusion de l'analyse, de différents scénarii,du MCD et MLD."/>
  </r>
  <r>
    <x v="11"/>
    <n v="3"/>
    <n v="2"/>
    <x v="3"/>
    <s v="Implémentation de la fonctionnalité recherche."/>
  </r>
  <r>
    <x v="11"/>
    <n v="3"/>
    <n v="0.25"/>
    <x v="2"/>
    <s v="Discussion avec M. Favre concernant les sprints ."/>
  </r>
  <r>
    <x v="11"/>
    <n v="3"/>
    <n v="0.75"/>
    <x v="1"/>
    <s v="Rédaction du résumé des sprints de Trello."/>
  </r>
  <r>
    <x v="11"/>
    <n v="3"/>
    <n v="0.5"/>
    <x v="1"/>
    <s v="Modification de mon introduction."/>
  </r>
  <r>
    <x v="11"/>
    <n v="3"/>
    <n v="1"/>
    <x v="3"/>
    <s v="Implémentation de la fonctionnalité Check-out."/>
  </r>
  <r>
    <x v="11"/>
    <n v="3"/>
    <n v="0.75"/>
    <x v="3"/>
    <s v="Implémentation de la page d'archive des emprunts."/>
  </r>
  <r>
    <x v="1"/>
    <m/>
    <n v="6.75"/>
    <x v="4"/>
    <m/>
  </r>
  <r>
    <x v="12"/>
    <n v="3"/>
    <n v="0.5"/>
    <x v="0"/>
    <s v="Review de l'avancement du TPI et de la suite du projet avec M. Ceran."/>
  </r>
  <r>
    <x v="12"/>
    <n v="3"/>
    <n v="0.5"/>
    <x v="3"/>
    <s v="Sécurisation de mes champs inscriptions à l'aide des &quot;Pattern&quot;."/>
  </r>
  <r>
    <x v="12"/>
    <n v="3"/>
    <n v="0.75"/>
    <x v="3"/>
    <s v="Modification dans le formulaire d'emprunt afin que lorsque il n'y ait plus de matériel disponible la catégorie ne s'affiche pas."/>
  </r>
  <r>
    <x v="12"/>
    <n v="3"/>
    <n v="1"/>
    <x v="3"/>
    <s v="Ajout de la fonctionnalité &quot;Rappel&quot; lorsque un emprunt a sa date de retour dépassée."/>
  </r>
  <r>
    <x v="12"/>
    <n v="3"/>
    <n v="0.75"/>
    <x v="8"/>
    <s v="Test de la fonctionnalité &quot;Rappel&quot; sur le site mis en ligne (SwissCenter)"/>
  </r>
  <r>
    <x v="12"/>
    <n v="3"/>
    <n v="1"/>
    <x v="3"/>
    <s v="Implémentation de la fonctionnalité &quot;Ajouter un matériel&quot;"/>
  </r>
  <r>
    <x v="12"/>
    <n v="3"/>
    <n v="0.75"/>
    <x v="3"/>
    <s v="Implémentation de la fonctionnalité &quot;Consommables&quot;"/>
  </r>
  <r>
    <x v="1"/>
    <m/>
    <n v="5.25"/>
    <x v="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K18" firstHeaderRow="1" firstDataRow="2" firstDataCol="1"/>
  <pivotFields count="5">
    <pivotField axis="axisRow" numFmtId="16" showAll="0">
      <items count="16">
        <item x="0"/>
        <item x="2"/>
        <item m="1" x="13"/>
        <item x="3"/>
        <item m="1" x="14"/>
        <item x="1"/>
        <item x="4"/>
        <item x="5"/>
        <item x="6"/>
        <item x="7"/>
        <item x="8"/>
        <item x="9"/>
        <item x="10"/>
        <item x="11"/>
        <item x="12"/>
        <item t="default"/>
      </items>
    </pivotField>
    <pivotField showAll="0"/>
    <pivotField dataField="1" showAll="0"/>
    <pivotField axis="axisCol" showAll="0">
      <items count="10">
        <item x="1"/>
        <item x="3"/>
        <item x="0"/>
        <item x="2"/>
        <item x="5"/>
        <item x="4"/>
        <item x="6"/>
        <item x="7"/>
        <item x="8"/>
        <item t="default"/>
      </items>
    </pivotField>
    <pivotField showAll="0" defaultSubtotal="0"/>
  </pivotFields>
  <rowFields count="1">
    <field x="0"/>
  </rowFields>
  <rowItems count="14">
    <i>
      <x/>
    </i>
    <i>
      <x v="1"/>
    </i>
    <i>
      <x v="3"/>
    </i>
    <i>
      <x v="5"/>
    </i>
    <i>
      <x v="6"/>
    </i>
    <i>
      <x v="7"/>
    </i>
    <i>
      <x v="8"/>
    </i>
    <i>
      <x v="9"/>
    </i>
    <i>
      <x v="10"/>
    </i>
    <i>
      <x v="11"/>
    </i>
    <i>
      <x v="12"/>
    </i>
    <i>
      <x v="13"/>
    </i>
    <i>
      <x v="14"/>
    </i>
    <i t="grand">
      <x/>
    </i>
  </rowItems>
  <colFields count="1">
    <field x="3"/>
  </colFields>
  <colItems count="10">
    <i>
      <x/>
    </i>
    <i>
      <x v="1"/>
    </i>
    <i>
      <x v="2"/>
    </i>
    <i>
      <x v="3"/>
    </i>
    <i>
      <x v="4"/>
    </i>
    <i>
      <x v="5"/>
    </i>
    <i>
      <x v="6"/>
    </i>
    <i>
      <x v="7"/>
    </i>
    <i>
      <x v="8"/>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youtube.com/watch?v=rVmZXJj5lH0"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124"/>
  <sheetViews>
    <sheetView tabSelected="1" topLeftCell="A104" workbookViewId="0">
      <selection activeCell="F116" sqref="F116"/>
    </sheetView>
  </sheetViews>
  <sheetFormatPr baseColWidth="10" defaultColWidth="9.140625" defaultRowHeight="15" x14ac:dyDescent="0.25"/>
  <cols>
    <col min="1" max="1" width="10.7109375" style="8" customWidth="1"/>
    <col min="2" max="2" width="25.5703125" style="20" customWidth="1"/>
    <col min="3" max="3" width="10.5703125" style="16" bestFit="1" customWidth="1"/>
    <col min="4" max="4" width="15.42578125" style="8" bestFit="1" customWidth="1"/>
    <col min="5" max="5" width="84.7109375" style="17" bestFit="1" customWidth="1"/>
    <col min="6" max="6" width="75.140625" style="17" customWidth="1"/>
    <col min="7" max="7" width="36" style="11" customWidth="1"/>
    <col min="8" max="16384" width="9.140625" style="11"/>
  </cols>
  <sheetData>
    <row r="1" spans="1:9" s="22" customFormat="1" ht="13.9" customHeight="1" x14ac:dyDescent="0.2">
      <c r="A1" s="51" t="s">
        <v>17</v>
      </c>
      <c r="B1" s="52"/>
      <c r="C1" s="52"/>
      <c r="D1" s="52"/>
      <c r="E1" s="52"/>
      <c r="F1" s="52"/>
      <c r="G1" s="53"/>
    </row>
    <row r="2" spans="1:9" s="22" customFormat="1" ht="14.25" customHeight="1" x14ac:dyDescent="0.2">
      <c r="A2" s="54"/>
      <c r="B2" s="55"/>
      <c r="C2" s="55"/>
      <c r="D2" s="55"/>
      <c r="E2" s="55"/>
      <c r="F2" s="55"/>
      <c r="G2" s="56"/>
    </row>
    <row r="3" spans="1:9" s="22" customFormat="1" ht="25.15" customHeight="1" x14ac:dyDescent="0.2">
      <c r="A3" s="28"/>
      <c r="B3" s="29"/>
      <c r="C3" s="29"/>
      <c r="D3" s="30"/>
      <c r="E3" s="30" t="s">
        <v>15</v>
      </c>
      <c r="F3" s="31" t="s">
        <v>16</v>
      </c>
      <c r="G3" s="32" t="s">
        <v>155</v>
      </c>
    </row>
    <row r="6" spans="1:9" ht="24" customHeight="1" x14ac:dyDescent="0.25">
      <c r="A6" s="6" t="s">
        <v>1</v>
      </c>
      <c r="B6" s="18" t="s">
        <v>11</v>
      </c>
      <c r="C6" s="9" t="s">
        <v>2</v>
      </c>
      <c r="D6" s="6" t="s">
        <v>3</v>
      </c>
      <c r="E6" s="10" t="s">
        <v>0</v>
      </c>
      <c r="F6" s="10" t="s">
        <v>13</v>
      </c>
      <c r="G6" s="10" t="s">
        <v>19</v>
      </c>
    </row>
    <row r="7" spans="1:9" ht="30" x14ac:dyDescent="0.25">
      <c r="A7" s="7">
        <v>43592</v>
      </c>
      <c r="B7" s="19">
        <v>1</v>
      </c>
      <c r="C7" s="12">
        <v>0.75</v>
      </c>
      <c r="D7" s="13" t="s">
        <v>14</v>
      </c>
      <c r="E7" s="14" t="s">
        <v>26</v>
      </c>
      <c r="F7" s="14"/>
      <c r="G7" s="58" t="s">
        <v>21</v>
      </c>
      <c r="I7" s="15"/>
    </row>
    <row r="8" spans="1:9" x14ac:dyDescent="0.25">
      <c r="A8" s="7">
        <v>43592</v>
      </c>
      <c r="B8" s="19">
        <v>1</v>
      </c>
      <c r="C8" s="12">
        <v>0.25</v>
      </c>
      <c r="D8" s="13" t="s">
        <v>14</v>
      </c>
      <c r="E8" s="14" t="s">
        <v>25</v>
      </c>
      <c r="F8" s="14"/>
      <c r="G8" s="59"/>
      <c r="I8" s="15"/>
    </row>
    <row r="9" spans="1:9" x14ac:dyDescent="0.25">
      <c r="A9" s="7">
        <v>43592</v>
      </c>
      <c r="B9" s="19">
        <v>1</v>
      </c>
      <c r="C9" s="12">
        <v>1</v>
      </c>
      <c r="D9" s="13" t="s">
        <v>8</v>
      </c>
      <c r="E9" s="14" t="s">
        <v>24</v>
      </c>
      <c r="F9" s="14"/>
      <c r="G9" s="59"/>
      <c r="I9" s="15"/>
    </row>
    <row r="10" spans="1:9" ht="30" x14ac:dyDescent="0.25">
      <c r="A10" s="7">
        <v>43592</v>
      </c>
      <c r="B10" s="19">
        <v>1</v>
      </c>
      <c r="C10" s="12">
        <v>0.75</v>
      </c>
      <c r="D10" s="13" t="s">
        <v>18</v>
      </c>
      <c r="E10" s="14" t="s">
        <v>28</v>
      </c>
      <c r="F10" s="14"/>
      <c r="G10" s="59"/>
      <c r="I10" s="15"/>
    </row>
    <row r="11" spans="1:9" x14ac:dyDescent="0.25">
      <c r="A11" s="7">
        <v>43592</v>
      </c>
      <c r="B11" s="19">
        <v>1</v>
      </c>
      <c r="C11" s="12">
        <v>1</v>
      </c>
      <c r="D11" s="13" t="s">
        <v>6</v>
      </c>
      <c r="E11" s="14" t="s">
        <v>20</v>
      </c>
      <c r="F11" s="14"/>
      <c r="G11" s="59"/>
      <c r="I11" s="15"/>
    </row>
    <row r="12" spans="1:9" x14ac:dyDescent="0.25">
      <c r="A12" s="7">
        <v>43592</v>
      </c>
      <c r="B12" s="19">
        <v>1</v>
      </c>
      <c r="C12" s="12">
        <v>0.75</v>
      </c>
      <c r="D12" s="13" t="s">
        <v>14</v>
      </c>
      <c r="E12" s="14" t="s">
        <v>63</v>
      </c>
      <c r="F12" s="14"/>
      <c r="G12" s="59"/>
      <c r="I12" s="15"/>
    </row>
    <row r="13" spans="1:9" x14ac:dyDescent="0.25">
      <c r="A13" s="7">
        <v>43592</v>
      </c>
      <c r="B13" s="19">
        <v>1</v>
      </c>
      <c r="C13" s="12">
        <v>1.5</v>
      </c>
      <c r="D13" s="13" t="s">
        <v>8</v>
      </c>
      <c r="E13" s="14" t="s">
        <v>23</v>
      </c>
      <c r="F13" s="14"/>
      <c r="G13" s="59"/>
      <c r="I13" s="15"/>
    </row>
    <row r="14" spans="1:9" x14ac:dyDescent="0.25">
      <c r="A14" s="7">
        <v>43592</v>
      </c>
      <c r="B14" s="19">
        <v>1</v>
      </c>
      <c r="C14" s="12">
        <v>0.5</v>
      </c>
      <c r="D14" s="13" t="s">
        <v>18</v>
      </c>
      <c r="E14" s="14" t="s">
        <v>22</v>
      </c>
      <c r="F14" s="14"/>
      <c r="G14" s="59"/>
      <c r="I14" s="15"/>
    </row>
    <row r="15" spans="1:9" ht="27.75" customHeight="1" x14ac:dyDescent="0.25">
      <c r="A15" s="44" t="s">
        <v>39</v>
      </c>
      <c r="B15" s="45"/>
      <c r="C15" s="34">
        <f>SUM(C7:C14)</f>
        <v>6.5</v>
      </c>
      <c r="D15" s="35"/>
      <c r="E15" s="36"/>
      <c r="F15" s="36"/>
      <c r="G15" s="60"/>
      <c r="I15" s="15"/>
    </row>
    <row r="16" spans="1:9" ht="15" customHeight="1" x14ac:dyDescent="0.25">
      <c r="A16" s="7">
        <v>43593</v>
      </c>
      <c r="B16" s="19">
        <v>1</v>
      </c>
      <c r="C16" s="12">
        <v>0.75</v>
      </c>
      <c r="D16" s="13" t="s">
        <v>8</v>
      </c>
      <c r="E16" s="14" t="s">
        <v>64</v>
      </c>
      <c r="F16" s="14"/>
      <c r="G16" s="49" t="s">
        <v>35</v>
      </c>
      <c r="I16" s="15"/>
    </row>
    <row r="17" spans="1:9" ht="45" x14ac:dyDescent="0.25">
      <c r="A17" s="7">
        <v>43593</v>
      </c>
      <c r="B17" s="19">
        <v>1</v>
      </c>
      <c r="C17" s="12">
        <v>0.5</v>
      </c>
      <c r="D17" s="13" t="s">
        <v>6</v>
      </c>
      <c r="E17" s="14" t="s">
        <v>33</v>
      </c>
      <c r="F17" s="14" t="s">
        <v>29</v>
      </c>
      <c r="G17" s="50"/>
      <c r="I17" s="15"/>
    </row>
    <row r="18" spans="1:9" x14ac:dyDescent="0.25">
      <c r="A18" s="7">
        <v>43593</v>
      </c>
      <c r="B18" s="19">
        <v>1</v>
      </c>
      <c r="C18" s="12">
        <v>1.5</v>
      </c>
      <c r="D18" s="13" t="s">
        <v>8</v>
      </c>
      <c r="E18" s="14" t="s">
        <v>62</v>
      </c>
      <c r="F18" s="14"/>
      <c r="G18" s="50"/>
      <c r="I18" s="15"/>
    </row>
    <row r="19" spans="1:9" x14ac:dyDescent="0.25">
      <c r="A19" s="7">
        <v>43593</v>
      </c>
      <c r="B19" s="19">
        <v>1</v>
      </c>
      <c r="C19" s="12">
        <v>0.5</v>
      </c>
      <c r="D19" s="13" t="s">
        <v>27</v>
      </c>
      <c r="E19" s="14" t="s">
        <v>32</v>
      </c>
      <c r="F19" s="14"/>
      <c r="G19" s="50"/>
      <c r="I19" s="15"/>
    </row>
    <row r="20" spans="1:9" ht="30" x14ac:dyDescent="0.25">
      <c r="A20" s="7">
        <v>43593</v>
      </c>
      <c r="B20" s="19">
        <v>1</v>
      </c>
      <c r="C20" s="12">
        <v>0.25</v>
      </c>
      <c r="D20" s="13" t="s">
        <v>8</v>
      </c>
      <c r="E20" s="14" t="s">
        <v>31</v>
      </c>
      <c r="F20" s="14"/>
      <c r="G20" s="50"/>
      <c r="I20" s="15"/>
    </row>
    <row r="21" spans="1:9" x14ac:dyDescent="0.25">
      <c r="A21" s="7">
        <v>43593</v>
      </c>
      <c r="B21" s="19">
        <v>1</v>
      </c>
      <c r="C21" s="12">
        <v>0.5</v>
      </c>
      <c r="D21" s="13" t="s">
        <v>8</v>
      </c>
      <c r="E21" s="14" t="s">
        <v>30</v>
      </c>
      <c r="F21" s="14"/>
      <c r="G21" s="50"/>
      <c r="I21" s="15"/>
    </row>
    <row r="22" spans="1:9" ht="27" customHeight="1" x14ac:dyDescent="0.25">
      <c r="A22" s="44" t="s">
        <v>39</v>
      </c>
      <c r="B22" s="45"/>
      <c r="C22" s="37">
        <f>SUM(C16:C21)</f>
        <v>4</v>
      </c>
      <c r="D22" s="35"/>
      <c r="E22" s="36"/>
      <c r="F22" s="36"/>
      <c r="G22" s="57"/>
      <c r="I22" s="15"/>
    </row>
    <row r="23" spans="1:9" x14ac:dyDescent="0.25">
      <c r="A23" s="7">
        <v>43594</v>
      </c>
      <c r="B23" s="19">
        <v>1</v>
      </c>
      <c r="C23" s="12">
        <v>1</v>
      </c>
      <c r="D23" s="13" t="s">
        <v>8</v>
      </c>
      <c r="E23" s="14" t="s">
        <v>41</v>
      </c>
      <c r="F23" s="14"/>
      <c r="G23" s="41" t="s">
        <v>38</v>
      </c>
      <c r="I23" s="15"/>
    </row>
    <row r="24" spans="1:9" x14ac:dyDescent="0.25">
      <c r="A24" s="7">
        <v>43594</v>
      </c>
      <c r="B24" s="19">
        <v>1</v>
      </c>
      <c r="C24" s="12">
        <v>0.5</v>
      </c>
      <c r="D24" s="13" t="s">
        <v>18</v>
      </c>
      <c r="E24" s="14" t="s">
        <v>42</v>
      </c>
      <c r="F24" s="14"/>
      <c r="G24" s="42"/>
      <c r="I24" s="15"/>
    </row>
    <row r="25" spans="1:9" x14ac:dyDescent="0.25">
      <c r="A25" s="7">
        <v>43594</v>
      </c>
      <c r="B25" s="19">
        <v>1</v>
      </c>
      <c r="C25" s="12">
        <v>1</v>
      </c>
      <c r="D25" s="13" t="s">
        <v>36</v>
      </c>
      <c r="E25" s="14" t="s">
        <v>61</v>
      </c>
      <c r="F25" s="14"/>
      <c r="G25" s="42"/>
      <c r="I25" s="15"/>
    </row>
    <row r="26" spans="1:9" x14ac:dyDescent="0.25">
      <c r="A26" s="7">
        <v>43594</v>
      </c>
      <c r="B26" s="19">
        <v>1</v>
      </c>
      <c r="C26" s="12">
        <v>0.25</v>
      </c>
      <c r="D26" s="13" t="s">
        <v>18</v>
      </c>
      <c r="E26" s="14" t="s">
        <v>46</v>
      </c>
      <c r="F26" s="14"/>
      <c r="G26" s="42"/>
      <c r="I26" s="15"/>
    </row>
    <row r="27" spans="1:9" x14ac:dyDescent="0.25">
      <c r="A27" s="7">
        <v>43594</v>
      </c>
      <c r="B27" s="19">
        <v>1</v>
      </c>
      <c r="C27" s="12">
        <v>1</v>
      </c>
      <c r="D27" s="13" t="s">
        <v>6</v>
      </c>
      <c r="E27" s="14" t="s">
        <v>47</v>
      </c>
      <c r="F27" s="14"/>
      <c r="G27" s="42"/>
      <c r="I27" s="15"/>
    </row>
    <row r="28" spans="1:9" ht="30" x14ac:dyDescent="0.25">
      <c r="A28" s="7">
        <v>43594</v>
      </c>
      <c r="B28" s="19">
        <v>1</v>
      </c>
      <c r="C28" s="12">
        <v>0.75</v>
      </c>
      <c r="D28" s="13" t="s">
        <v>14</v>
      </c>
      <c r="E28" s="14" t="s">
        <v>48</v>
      </c>
      <c r="F28" s="14" t="s">
        <v>43</v>
      </c>
      <c r="G28" s="42"/>
      <c r="I28" s="15"/>
    </row>
    <row r="29" spans="1:9" x14ac:dyDescent="0.25">
      <c r="A29" s="7">
        <v>43594</v>
      </c>
      <c r="B29" s="19">
        <v>1</v>
      </c>
      <c r="C29" s="12">
        <v>1</v>
      </c>
      <c r="D29" s="13" t="s">
        <v>27</v>
      </c>
      <c r="E29" s="14" t="s">
        <v>37</v>
      </c>
      <c r="F29" s="14" t="s">
        <v>44</v>
      </c>
      <c r="G29" s="42"/>
      <c r="I29" s="15"/>
    </row>
    <row r="30" spans="1:9" x14ac:dyDescent="0.25">
      <c r="A30" s="7">
        <v>43594</v>
      </c>
      <c r="B30" s="19">
        <v>1</v>
      </c>
      <c r="C30" s="12">
        <v>1</v>
      </c>
      <c r="D30" s="13" t="s">
        <v>8</v>
      </c>
      <c r="E30" s="14" t="s">
        <v>49</v>
      </c>
      <c r="F30" s="14"/>
      <c r="G30" s="42"/>
      <c r="I30" s="15"/>
    </row>
    <row r="31" spans="1:9" x14ac:dyDescent="0.25">
      <c r="A31" s="7">
        <v>43594</v>
      </c>
      <c r="B31" s="19">
        <v>1</v>
      </c>
      <c r="C31" s="12">
        <v>0.25</v>
      </c>
      <c r="D31" s="13" t="s">
        <v>8</v>
      </c>
      <c r="E31" s="14" t="s">
        <v>50</v>
      </c>
      <c r="F31" s="14"/>
      <c r="G31" s="42"/>
      <c r="I31" s="15"/>
    </row>
    <row r="32" spans="1:9" ht="24" customHeight="1" x14ac:dyDescent="0.25">
      <c r="A32" s="44" t="s">
        <v>39</v>
      </c>
      <c r="B32" s="45"/>
      <c r="C32" s="37">
        <f>SUM(C23:C31)</f>
        <v>6.75</v>
      </c>
      <c r="D32" s="35"/>
      <c r="E32" s="36"/>
      <c r="F32" s="36"/>
      <c r="G32" s="42"/>
      <c r="I32" s="15"/>
    </row>
    <row r="33" spans="1:9" ht="15" customHeight="1" x14ac:dyDescent="0.25">
      <c r="A33" s="39">
        <v>43595</v>
      </c>
      <c r="B33" s="33">
        <v>1</v>
      </c>
      <c r="C33" s="38">
        <v>0.5</v>
      </c>
      <c r="D33" s="13" t="s">
        <v>8</v>
      </c>
      <c r="E33" s="14" t="s">
        <v>51</v>
      </c>
      <c r="F33" s="14"/>
      <c r="G33" s="41" t="s">
        <v>38</v>
      </c>
      <c r="I33" s="15"/>
    </row>
    <row r="34" spans="1:9" x14ac:dyDescent="0.25">
      <c r="A34" s="39">
        <v>43595</v>
      </c>
      <c r="B34" s="33">
        <v>1</v>
      </c>
      <c r="C34" s="38">
        <v>0.25</v>
      </c>
      <c r="D34" s="13" t="s">
        <v>27</v>
      </c>
      <c r="E34" s="14" t="s">
        <v>52</v>
      </c>
      <c r="F34" s="14" t="s">
        <v>45</v>
      </c>
      <c r="G34" s="42"/>
      <c r="I34" s="15"/>
    </row>
    <row r="35" spans="1:9" x14ac:dyDescent="0.25">
      <c r="A35" s="39">
        <v>43595</v>
      </c>
      <c r="B35" s="33">
        <v>1</v>
      </c>
      <c r="C35" s="38">
        <v>0.5</v>
      </c>
      <c r="D35" s="13" t="s">
        <v>8</v>
      </c>
      <c r="E35" s="14" t="s">
        <v>53</v>
      </c>
      <c r="F35" s="14"/>
      <c r="G35" s="42"/>
      <c r="I35" s="15"/>
    </row>
    <row r="36" spans="1:9" x14ac:dyDescent="0.25">
      <c r="A36" s="39">
        <v>43595</v>
      </c>
      <c r="B36" s="33">
        <v>1</v>
      </c>
      <c r="C36" s="38">
        <v>0.75</v>
      </c>
      <c r="D36" s="13" t="s">
        <v>8</v>
      </c>
      <c r="E36" s="14" t="s">
        <v>54</v>
      </c>
      <c r="F36" s="14"/>
      <c r="G36" s="42"/>
      <c r="I36" s="15"/>
    </row>
    <row r="37" spans="1:9" x14ac:dyDescent="0.25">
      <c r="A37" s="39">
        <v>43595</v>
      </c>
      <c r="B37" s="33">
        <v>1</v>
      </c>
      <c r="C37" s="38">
        <v>0.75</v>
      </c>
      <c r="D37" s="13" t="s">
        <v>8</v>
      </c>
      <c r="E37" s="14" t="s">
        <v>55</v>
      </c>
      <c r="F37" s="14"/>
      <c r="G37" s="42"/>
      <c r="I37" s="15"/>
    </row>
    <row r="38" spans="1:9" x14ac:dyDescent="0.25">
      <c r="A38" s="39">
        <v>43595</v>
      </c>
      <c r="B38" s="33">
        <v>1</v>
      </c>
      <c r="C38" s="38">
        <v>0.75</v>
      </c>
      <c r="D38" s="13" t="s">
        <v>8</v>
      </c>
      <c r="E38" s="14" t="s">
        <v>56</v>
      </c>
      <c r="F38" s="14"/>
      <c r="G38" s="42"/>
      <c r="I38" s="15"/>
    </row>
    <row r="39" spans="1:9" x14ac:dyDescent="0.25">
      <c r="A39" s="39">
        <v>43595</v>
      </c>
      <c r="B39" s="33">
        <v>1</v>
      </c>
      <c r="C39" s="38">
        <v>0.5</v>
      </c>
      <c r="D39" s="13" t="s">
        <v>8</v>
      </c>
      <c r="E39" s="14" t="s">
        <v>57</v>
      </c>
      <c r="F39" s="14"/>
      <c r="G39" s="42"/>
      <c r="I39" s="15"/>
    </row>
    <row r="40" spans="1:9" x14ac:dyDescent="0.25">
      <c r="A40" s="39">
        <v>43595</v>
      </c>
      <c r="B40" s="33">
        <v>1</v>
      </c>
      <c r="C40" s="38">
        <v>0.5</v>
      </c>
      <c r="D40" s="13" t="s">
        <v>8</v>
      </c>
      <c r="E40" s="14" t="s">
        <v>58</v>
      </c>
      <c r="F40" s="14"/>
      <c r="G40" s="42"/>
      <c r="I40" s="15"/>
    </row>
    <row r="41" spans="1:9" x14ac:dyDescent="0.25">
      <c r="A41" s="39">
        <v>43595</v>
      </c>
      <c r="B41" s="33">
        <v>1</v>
      </c>
      <c r="C41" s="38">
        <v>0.25</v>
      </c>
      <c r="D41" s="13" t="s">
        <v>18</v>
      </c>
      <c r="E41" s="14" t="s">
        <v>42</v>
      </c>
      <c r="F41" s="14"/>
      <c r="G41" s="42"/>
      <c r="I41" s="15"/>
    </row>
    <row r="42" spans="1:9" x14ac:dyDescent="0.25">
      <c r="A42" s="39">
        <v>43595</v>
      </c>
      <c r="B42" s="33">
        <v>1</v>
      </c>
      <c r="C42" s="38">
        <v>0.25</v>
      </c>
      <c r="D42" s="13" t="s">
        <v>8</v>
      </c>
      <c r="E42" s="14" t="s">
        <v>59</v>
      </c>
      <c r="F42" s="14"/>
      <c r="G42" s="42"/>
      <c r="I42" s="15"/>
    </row>
    <row r="43" spans="1:9" x14ac:dyDescent="0.25">
      <c r="A43" s="39">
        <v>43595</v>
      </c>
      <c r="B43" s="33">
        <v>1</v>
      </c>
      <c r="C43" s="38">
        <v>0.25</v>
      </c>
      <c r="D43" s="13" t="s">
        <v>8</v>
      </c>
      <c r="E43" s="14" t="s">
        <v>60</v>
      </c>
      <c r="F43" s="14"/>
      <c r="G43" s="42"/>
      <c r="I43" s="15"/>
    </row>
    <row r="44" spans="1:9" ht="25.5" customHeight="1" x14ac:dyDescent="0.25">
      <c r="A44" s="44" t="s">
        <v>39</v>
      </c>
      <c r="B44" s="45"/>
      <c r="C44" s="37">
        <f>SUM(C33:C43)</f>
        <v>5.25</v>
      </c>
      <c r="D44" s="35"/>
      <c r="E44" s="36"/>
      <c r="F44" s="36"/>
      <c r="G44" s="42"/>
      <c r="I44" s="15"/>
    </row>
    <row r="45" spans="1:9" ht="30" customHeight="1" x14ac:dyDescent="0.25">
      <c r="A45" s="39">
        <v>43599</v>
      </c>
      <c r="B45" s="33">
        <v>2</v>
      </c>
      <c r="C45" s="38">
        <v>1</v>
      </c>
      <c r="D45" s="13" t="s">
        <v>14</v>
      </c>
      <c r="E45" s="14" t="s">
        <v>67</v>
      </c>
      <c r="F45" s="14"/>
      <c r="G45" s="41" t="s">
        <v>65</v>
      </c>
      <c r="I45" s="15"/>
    </row>
    <row r="46" spans="1:9" x14ac:dyDescent="0.25">
      <c r="A46" s="39">
        <v>43599</v>
      </c>
      <c r="B46" s="33">
        <v>2</v>
      </c>
      <c r="C46" s="38">
        <v>0.5</v>
      </c>
      <c r="D46" s="13" t="s">
        <v>8</v>
      </c>
      <c r="E46" s="14" t="s">
        <v>68</v>
      </c>
      <c r="F46" s="14"/>
      <c r="G46" s="42"/>
      <c r="I46" s="15"/>
    </row>
    <row r="47" spans="1:9" x14ac:dyDescent="0.25">
      <c r="A47" s="39">
        <v>43599</v>
      </c>
      <c r="B47" s="33">
        <v>2</v>
      </c>
      <c r="C47" s="38">
        <v>0.5</v>
      </c>
      <c r="D47" s="13" t="s">
        <v>8</v>
      </c>
      <c r="E47" s="14" t="s">
        <v>69</v>
      </c>
      <c r="F47" s="14"/>
      <c r="G47" s="42"/>
      <c r="I47" s="15"/>
    </row>
    <row r="48" spans="1:9" x14ac:dyDescent="0.25">
      <c r="A48" s="39">
        <v>43599</v>
      </c>
      <c r="B48" s="33">
        <v>2</v>
      </c>
      <c r="C48" s="38">
        <v>1</v>
      </c>
      <c r="D48" s="13" t="s">
        <v>8</v>
      </c>
      <c r="E48" s="14" t="s">
        <v>70</v>
      </c>
      <c r="F48" s="14"/>
      <c r="G48" s="42"/>
      <c r="I48" s="15"/>
    </row>
    <row r="49" spans="1:9" x14ac:dyDescent="0.25">
      <c r="A49" s="39">
        <v>43599</v>
      </c>
      <c r="B49" s="33">
        <v>2</v>
      </c>
      <c r="C49" s="38">
        <v>1</v>
      </c>
      <c r="D49" s="13" t="s">
        <v>8</v>
      </c>
      <c r="E49" s="14" t="s">
        <v>71</v>
      </c>
      <c r="F49" s="14"/>
      <c r="G49" s="42"/>
      <c r="I49" s="15"/>
    </row>
    <row r="50" spans="1:9" x14ac:dyDescent="0.25">
      <c r="A50" s="39">
        <v>43599</v>
      </c>
      <c r="B50" s="33">
        <v>2</v>
      </c>
      <c r="C50" s="38">
        <v>0.5</v>
      </c>
      <c r="D50" s="13" t="s">
        <v>40</v>
      </c>
      <c r="E50" s="14" t="s">
        <v>72</v>
      </c>
      <c r="F50" s="14"/>
      <c r="G50" s="42"/>
      <c r="I50" s="15"/>
    </row>
    <row r="51" spans="1:9" x14ac:dyDescent="0.25">
      <c r="A51" s="39">
        <v>43599</v>
      </c>
      <c r="B51" s="33">
        <v>2</v>
      </c>
      <c r="C51" s="38">
        <v>0.25</v>
      </c>
      <c r="D51" s="13" t="s">
        <v>40</v>
      </c>
      <c r="E51" s="14" t="s">
        <v>75</v>
      </c>
      <c r="F51" s="14" t="s">
        <v>73</v>
      </c>
      <c r="G51" s="42"/>
      <c r="I51" s="15"/>
    </row>
    <row r="52" spans="1:9" x14ac:dyDescent="0.25">
      <c r="A52" s="39">
        <v>43599</v>
      </c>
      <c r="B52" s="33">
        <v>2</v>
      </c>
      <c r="C52" s="38">
        <v>0.5</v>
      </c>
      <c r="D52" s="13" t="s">
        <v>14</v>
      </c>
      <c r="E52" s="14" t="s">
        <v>76</v>
      </c>
      <c r="F52" s="14"/>
      <c r="G52" s="42"/>
      <c r="I52" s="15"/>
    </row>
    <row r="53" spans="1:9" x14ac:dyDescent="0.25">
      <c r="A53" s="39">
        <v>43599</v>
      </c>
      <c r="B53" s="33">
        <v>2</v>
      </c>
      <c r="C53" s="38">
        <v>1</v>
      </c>
      <c r="D53" s="13" t="s">
        <v>36</v>
      </c>
      <c r="E53" s="14" t="s">
        <v>77</v>
      </c>
      <c r="F53" s="14" t="s">
        <v>74</v>
      </c>
      <c r="G53" s="42"/>
      <c r="I53" s="15"/>
    </row>
    <row r="54" spans="1:9" x14ac:dyDescent="0.25">
      <c r="A54" s="39">
        <v>43599</v>
      </c>
      <c r="B54" s="33">
        <v>2</v>
      </c>
      <c r="C54" s="38">
        <v>0.5</v>
      </c>
      <c r="D54" s="13" t="s">
        <v>36</v>
      </c>
      <c r="E54" s="14" t="s">
        <v>78</v>
      </c>
      <c r="F54" s="14" t="s">
        <v>74</v>
      </c>
      <c r="G54" s="42"/>
      <c r="I54" s="15"/>
    </row>
    <row r="55" spans="1:9" x14ac:dyDescent="0.25">
      <c r="A55" s="44" t="s">
        <v>39</v>
      </c>
      <c r="B55" s="45"/>
      <c r="C55" s="37">
        <f>SUM(C45:C54)</f>
        <v>6.75</v>
      </c>
      <c r="D55" s="35"/>
      <c r="E55" s="36"/>
      <c r="F55" s="36"/>
      <c r="G55" s="42"/>
      <c r="I55" s="15"/>
    </row>
    <row r="56" spans="1:9" ht="30" x14ac:dyDescent="0.25">
      <c r="A56" s="39">
        <v>43600</v>
      </c>
      <c r="B56" s="33">
        <v>2</v>
      </c>
      <c r="C56" s="38">
        <v>0.5</v>
      </c>
      <c r="D56" s="13" t="s">
        <v>8</v>
      </c>
      <c r="E56" s="14" t="s">
        <v>82</v>
      </c>
      <c r="F56" s="14"/>
      <c r="G56" s="41" t="s">
        <v>66</v>
      </c>
      <c r="I56" s="15"/>
    </row>
    <row r="57" spans="1:9" x14ac:dyDescent="0.25">
      <c r="A57" s="39">
        <v>43600</v>
      </c>
      <c r="B57" s="33">
        <v>2</v>
      </c>
      <c r="C57" s="38">
        <v>1.5</v>
      </c>
      <c r="D57" s="13" t="s">
        <v>36</v>
      </c>
      <c r="E57" s="14" t="s">
        <v>81</v>
      </c>
      <c r="F57" s="14"/>
      <c r="G57" s="42"/>
      <c r="I57" s="15"/>
    </row>
    <row r="58" spans="1:9" x14ac:dyDescent="0.25">
      <c r="A58" s="39">
        <v>43600</v>
      </c>
      <c r="B58" s="33">
        <v>2</v>
      </c>
      <c r="C58" s="38">
        <v>0.5</v>
      </c>
      <c r="D58" s="13" t="s">
        <v>14</v>
      </c>
      <c r="E58" s="14" t="s">
        <v>80</v>
      </c>
      <c r="F58" s="14"/>
      <c r="G58" s="42"/>
      <c r="I58" s="15"/>
    </row>
    <row r="59" spans="1:9" x14ac:dyDescent="0.25">
      <c r="A59" s="39">
        <v>43600</v>
      </c>
      <c r="B59" s="33">
        <v>2</v>
      </c>
      <c r="C59" s="38">
        <v>1.5</v>
      </c>
      <c r="D59" s="13" t="s">
        <v>36</v>
      </c>
      <c r="E59" s="14" t="s">
        <v>79</v>
      </c>
      <c r="F59" s="14"/>
      <c r="G59" s="42"/>
      <c r="I59" s="15"/>
    </row>
    <row r="60" spans="1:9" x14ac:dyDescent="0.25">
      <c r="A60" s="44" t="s">
        <v>39</v>
      </c>
      <c r="B60" s="45"/>
      <c r="C60" s="37">
        <f>SUM(C56:C59)</f>
        <v>4</v>
      </c>
      <c r="D60" s="35"/>
      <c r="E60" s="36"/>
      <c r="F60" s="36"/>
      <c r="G60" s="43"/>
      <c r="I60" s="15"/>
    </row>
    <row r="61" spans="1:9" ht="15" customHeight="1" x14ac:dyDescent="0.25">
      <c r="A61" s="39">
        <v>43601</v>
      </c>
      <c r="B61" s="33">
        <v>2</v>
      </c>
      <c r="C61" s="38">
        <v>0.25</v>
      </c>
      <c r="D61" s="13" t="s">
        <v>8</v>
      </c>
      <c r="E61" s="14" t="s">
        <v>87</v>
      </c>
      <c r="F61" s="14"/>
      <c r="G61" s="49" t="s">
        <v>92</v>
      </c>
      <c r="I61" s="15"/>
    </row>
    <row r="62" spans="1:9" ht="30" x14ac:dyDescent="0.25">
      <c r="A62" s="39">
        <v>43601</v>
      </c>
      <c r="B62" s="33">
        <v>2</v>
      </c>
      <c r="C62" s="38">
        <v>1</v>
      </c>
      <c r="D62" s="13" t="s">
        <v>8</v>
      </c>
      <c r="E62" s="14" t="s">
        <v>86</v>
      </c>
      <c r="F62" s="14"/>
      <c r="G62" s="50"/>
      <c r="I62" s="15"/>
    </row>
    <row r="63" spans="1:9" ht="30" x14ac:dyDescent="0.25">
      <c r="A63" s="39">
        <v>43601</v>
      </c>
      <c r="B63" s="33">
        <v>2</v>
      </c>
      <c r="C63" s="38">
        <v>0.5</v>
      </c>
      <c r="D63" s="13" t="s">
        <v>36</v>
      </c>
      <c r="E63" s="14" t="s">
        <v>88</v>
      </c>
      <c r="F63" s="14" t="s">
        <v>83</v>
      </c>
      <c r="G63" s="50"/>
      <c r="I63" s="15"/>
    </row>
    <row r="64" spans="1:9" ht="30" x14ac:dyDescent="0.25">
      <c r="A64" s="39">
        <v>43601</v>
      </c>
      <c r="B64" s="33">
        <v>2</v>
      </c>
      <c r="C64" s="38">
        <v>1.5</v>
      </c>
      <c r="D64" s="13" t="s">
        <v>6</v>
      </c>
      <c r="E64" s="14" t="s">
        <v>89</v>
      </c>
      <c r="F64" s="14" t="s">
        <v>84</v>
      </c>
      <c r="G64" s="50"/>
      <c r="I64" s="15"/>
    </row>
    <row r="65" spans="1:9" x14ac:dyDescent="0.25">
      <c r="A65" s="39">
        <v>43601</v>
      </c>
      <c r="B65" s="33">
        <v>2</v>
      </c>
      <c r="C65" s="38">
        <v>1.5</v>
      </c>
      <c r="D65" s="13" t="s">
        <v>6</v>
      </c>
      <c r="E65" s="14" t="s">
        <v>90</v>
      </c>
      <c r="F65" s="14"/>
      <c r="G65" s="50"/>
      <c r="I65" s="15"/>
    </row>
    <row r="66" spans="1:9" ht="45" x14ac:dyDescent="0.25">
      <c r="A66" s="39">
        <v>43601</v>
      </c>
      <c r="B66" s="33">
        <v>2</v>
      </c>
      <c r="C66" s="38">
        <v>1</v>
      </c>
      <c r="D66" s="13" t="s">
        <v>6</v>
      </c>
      <c r="E66" s="14" t="s">
        <v>91</v>
      </c>
      <c r="F66" s="14" t="s">
        <v>85</v>
      </c>
      <c r="G66" s="50"/>
      <c r="I66" s="15"/>
    </row>
    <row r="67" spans="1:9" x14ac:dyDescent="0.25">
      <c r="A67" s="39">
        <v>43601</v>
      </c>
      <c r="B67" s="33">
        <v>2</v>
      </c>
      <c r="C67" s="38">
        <v>1</v>
      </c>
      <c r="D67" s="13" t="s">
        <v>36</v>
      </c>
      <c r="E67" s="14" t="s">
        <v>93</v>
      </c>
      <c r="F67" s="14"/>
      <c r="G67" s="50"/>
      <c r="I67" s="15"/>
    </row>
    <row r="68" spans="1:9" x14ac:dyDescent="0.25">
      <c r="A68" s="44" t="s">
        <v>39</v>
      </c>
      <c r="B68" s="45"/>
      <c r="C68" s="37">
        <f>SUM(C61:C67)</f>
        <v>6.75</v>
      </c>
      <c r="D68" s="35"/>
      <c r="E68" s="36"/>
      <c r="F68" s="36"/>
      <c r="G68" s="50"/>
      <c r="I68" s="15"/>
    </row>
    <row r="69" spans="1:9" ht="60" x14ac:dyDescent="0.25">
      <c r="A69" s="39">
        <v>43602</v>
      </c>
      <c r="B69" s="33">
        <v>2</v>
      </c>
      <c r="C69" s="38">
        <v>1.5</v>
      </c>
      <c r="D69" s="13" t="s">
        <v>6</v>
      </c>
      <c r="E69" s="14" t="s">
        <v>94</v>
      </c>
      <c r="F69" s="14" t="s">
        <v>102</v>
      </c>
      <c r="G69" s="49" t="s">
        <v>98</v>
      </c>
      <c r="I69" s="15"/>
    </row>
    <row r="70" spans="1:9" x14ac:dyDescent="0.25">
      <c r="A70" s="39">
        <v>43602</v>
      </c>
      <c r="B70" s="33">
        <v>2</v>
      </c>
      <c r="C70" s="38">
        <v>0.5</v>
      </c>
      <c r="D70" s="13" t="s">
        <v>36</v>
      </c>
      <c r="E70" s="14" t="s">
        <v>95</v>
      </c>
      <c r="F70" s="14"/>
      <c r="G70" s="50"/>
      <c r="I70" s="15"/>
    </row>
    <row r="71" spans="1:9" x14ac:dyDescent="0.25">
      <c r="A71" s="39">
        <v>43602</v>
      </c>
      <c r="B71" s="33">
        <v>2</v>
      </c>
      <c r="C71" s="38">
        <v>1.25</v>
      </c>
      <c r="D71" s="13" t="s">
        <v>6</v>
      </c>
      <c r="E71" s="14" t="s">
        <v>96</v>
      </c>
      <c r="F71" s="14"/>
      <c r="G71" s="50"/>
      <c r="I71" s="15"/>
    </row>
    <row r="72" spans="1:9" x14ac:dyDescent="0.25">
      <c r="A72" s="39">
        <v>43602</v>
      </c>
      <c r="B72" s="33">
        <v>2</v>
      </c>
      <c r="C72" s="38">
        <v>0.5</v>
      </c>
      <c r="D72" s="13" t="s">
        <v>8</v>
      </c>
      <c r="E72" s="14" t="s">
        <v>100</v>
      </c>
      <c r="F72" s="14"/>
      <c r="G72" s="50"/>
      <c r="I72" s="15"/>
    </row>
    <row r="73" spans="1:9" ht="60" x14ac:dyDescent="0.25">
      <c r="A73" s="39">
        <v>43602</v>
      </c>
      <c r="B73" s="33">
        <v>2</v>
      </c>
      <c r="C73" s="38">
        <v>0.75</v>
      </c>
      <c r="D73" s="13" t="s">
        <v>6</v>
      </c>
      <c r="E73" s="14" t="s">
        <v>99</v>
      </c>
      <c r="F73" s="14" t="s">
        <v>97</v>
      </c>
      <c r="G73" s="50"/>
      <c r="I73" s="15"/>
    </row>
    <row r="74" spans="1:9" x14ac:dyDescent="0.25">
      <c r="A74" s="39">
        <v>43602</v>
      </c>
      <c r="B74" s="33">
        <v>2</v>
      </c>
      <c r="C74" s="38">
        <v>0.5</v>
      </c>
      <c r="D74" s="13" t="s">
        <v>6</v>
      </c>
      <c r="E74" s="14" t="s">
        <v>101</v>
      </c>
      <c r="F74" s="14"/>
      <c r="G74" s="50"/>
      <c r="I74" s="15"/>
    </row>
    <row r="75" spans="1:9" x14ac:dyDescent="0.25">
      <c r="A75" s="39">
        <v>43602</v>
      </c>
      <c r="B75" s="33">
        <v>2</v>
      </c>
      <c r="C75" s="38">
        <v>0.25</v>
      </c>
      <c r="D75" s="13" t="s">
        <v>6</v>
      </c>
      <c r="E75" s="14" t="s">
        <v>109</v>
      </c>
      <c r="F75" s="14"/>
      <c r="G75" s="50"/>
      <c r="I75" s="15"/>
    </row>
    <row r="76" spans="1:9" x14ac:dyDescent="0.25">
      <c r="A76" s="44" t="s">
        <v>39</v>
      </c>
      <c r="B76" s="45"/>
      <c r="C76" s="37">
        <f>SUM(C69:C75)</f>
        <v>5.25</v>
      </c>
      <c r="D76" s="35"/>
      <c r="E76" s="36"/>
      <c r="F76" s="36"/>
      <c r="G76" s="50"/>
      <c r="I76" s="15"/>
    </row>
    <row r="77" spans="1:9" ht="45" x14ac:dyDescent="0.25">
      <c r="A77" s="39">
        <v>43606</v>
      </c>
      <c r="B77" s="33">
        <v>3</v>
      </c>
      <c r="C77" s="38">
        <v>2</v>
      </c>
      <c r="D77" s="13" t="s">
        <v>6</v>
      </c>
      <c r="E77" s="14" t="s">
        <v>103</v>
      </c>
      <c r="F77" s="14" t="s">
        <v>104</v>
      </c>
      <c r="G77" s="41" t="s">
        <v>111</v>
      </c>
      <c r="I77" s="15"/>
    </row>
    <row r="78" spans="1:9" x14ac:dyDescent="0.25">
      <c r="A78" s="39">
        <v>43606</v>
      </c>
      <c r="B78" s="33">
        <v>3</v>
      </c>
      <c r="C78" s="38">
        <v>1.5</v>
      </c>
      <c r="D78" s="13" t="s">
        <v>6</v>
      </c>
      <c r="E78" s="14" t="s">
        <v>108</v>
      </c>
      <c r="F78" s="14"/>
      <c r="G78" s="42"/>
      <c r="I78" s="15"/>
    </row>
    <row r="79" spans="1:9" ht="30" x14ac:dyDescent="0.25">
      <c r="A79" s="39">
        <v>43606</v>
      </c>
      <c r="B79" s="33">
        <v>3</v>
      </c>
      <c r="C79" s="38">
        <v>1.25</v>
      </c>
      <c r="D79" s="13" t="s">
        <v>6</v>
      </c>
      <c r="E79" s="14" t="s">
        <v>105</v>
      </c>
      <c r="F79" s="14" t="s">
        <v>106</v>
      </c>
      <c r="G79" s="42"/>
      <c r="I79" s="15"/>
    </row>
    <row r="80" spans="1:9" x14ac:dyDescent="0.25">
      <c r="A80" s="39">
        <v>43606</v>
      </c>
      <c r="B80" s="33">
        <v>3</v>
      </c>
      <c r="C80" s="38">
        <v>0.5</v>
      </c>
      <c r="D80" s="13" t="s">
        <v>6</v>
      </c>
      <c r="E80" s="14" t="s">
        <v>107</v>
      </c>
      <c r="F80" s="14"/>
      <c r="G80" s="42"/>
      <c r="I80" s="15"/>
    </row>
    <row r="81" spans="1:9" x14ac:dyDescent="0.25">
      <c r="A81" s="39">
        <v>43606</v>
      </c>
      <c r="B81" s="33">
        <v>3</v>
      </c>
      <c r="C81" s="38">
        <v>0.75</v>
      </c>
      <c r="D81" s="13" t="s">
        <v>6</v>
      </c>
      <c r="E81" s="14" t="s">
        <v>110</v>
      </c>
      <c r="F81" s="14"/>
      <c r="G81" s="42"/>
      <c r="I81" s="15"/>
    </row>
    <row r="82" spans="1:9" ht="30" x14ac:dyDescent="0.25">
      <c r="A82" s="39">
        <v>43606</v>
      </c>
      <c r="B82" s="33">
        <v>3</v>
      </c>
      <c r="C82" s="38">
        <v>0.75</v>
      </c>
      <c r="D82" s="13" t="s">
        <v>36</v>
      </c>
      <c r="E82" s="14" t="s">
        <v>112</v>
      </c>
      <c r="F82" s="14"/>
      <c r="G82" s="42"/>
      <c r="I82" s="15"/>
    </row>
    <row r="83" spans="1:9" x14ac:dyDescent="0.25">
      <c r="A83" s="44" t="s">
        <v>39</v>
      </c>
      <c r="B83" s="45"/>
      <c r="C83" s="37">
        <f>SUM(C77:C82)</f>
        <v>6.75</v>
      </c>
      <c r="D83" s="35"/>
      <c r="E83" s="36"/>
      <c r="F83" s="36"/>
      <c r="G83" s="43"/>
      <c r="I83" s="15"/>
    </row>
    <row r="84" spans="1:9" x14ac:dyDescent="0.25">
      <c r="A84" s="39">
        <v>43607</v>
      </c>
      <c r="B84" s="33">
        <v>3</v>
      </c>
      <c r="C84" s="38">
        <v>1.5</v>
      </c>
      <c r="D84" s="13" t="s">
        <v>14</v>
      </c>
      <c r="E84" s="14" t="s">
        <v>116</v>
      </c>
      <c r="F84" s="14"/>
      <c r="G84" s="41" t="s">
        <v>113</v>
      </c>
      <c r="I84" s="15"/>
    </row>
    <row r="85" spans="1:9" x14ac:dyDescent="0.25">
      <c r="A85" s="39">
        <v>43607</v>
      </c>
      <c r="B85" s="33">
        <v>3</v>
      </c>
      <c r="C85" s="38">
        <v>1.5</v>
      </c>
      <c r="D85" s="13" t="s">
        <v>36</v>
      </c>
      <c r="E85" s="14" t="s">
        <v>115</v>
      </c>
      <c r="F85" s="14"/>
      <c r="G85" s="42"/>
      <c r="I85" s="15"/>
    </row>
    <row r="86" spans="1:9" x14ac:dyDescent="0.25">
      <c r="A86" s="39">
        <v>43607</v>
      </c>
      <c r="B86" s="33">
        <v>3</v>
      </c>
      <c r="C86" s="38">
        <v>1</v>
      </c>
      <c r="D86" s="13" t="s">
        <v>6</v>
      </c>
      <c r="E86" s="14" t="s">
        <v>114</v>
      </c>
      <c r="F86" s="14"/>
      <c r="G86" s="42"/>
      <c r="I86" s="15"/>
    </row>
    <row r="87" spans="1:9" x14ac:dyDescent="0.25">
      <c r="A87" s="44" t="s">
        <v>39</v>
      </c>
      <c r="B87" s="45"/>
      <c r="C87" s="37">
        <f>SUM(C84:C86)</f>
        <v>4</v>
      </c>
      <c r="D87" s="35"/>
      <c r="E87" s="36"/>
      <c r="F87" s="36"/>
      <c r="G87" s="43"/>
      <c r="I87" s="15"/>
    </row>
    <row r="88" spans="1:9" ht="30" x14ac:dyDescent="0.25">
      <c r="A88" s="39">
        <v>43608</v>
      </c>
      <c r="B88" s="33">
        <v>3</v>
      </c>
      <c r="C88" s="38">
        <v>1.5</v>
      </c>
      <c r="D88" s="13" t="s">
        <v>8</v>
      </c>
      <c r="E88" s="14" t="s">
        <v>123</v>
      </c>
      <c r="F88" s="14"/>
      <c r="G88" s="41" t="s">
        <v>124</v>
      </c>
      <c r="I88" s="15"/>
    </row>
    <row r="89" spans="1:9" ht="45" x14ac:dyDescent="0.25">
      <c r="A89" s="39">
        <v>43608</v>
      </c>
      <c r="B89" s="33">
        <v>3</v>
      </c>
      <c r="C89" s="38">
        <v>2</v>
      </c>
      <c r="D89" s="13" t="s">
        <v>6</v>
      </c>
      <c r="E89" s="14" t="s">
        <v>122</v>
      </c>
      <c r="F89" s="14" t="s">
        <v>126</v>
      </c>
      <c r="G89" s="42"/>
      <c r="I89" s="15"/>
    </row>
    <row r="90" spans="1:9" x14ac:dyDescent="0.25">
      <c r="A90" s="39">
        <v>43608</v>
      </c>
      <c r="B90" s="33">
        <v>3</v>
      </c>
      <c r="C90" s="38">
        <v>0.25</v>
      </c>
      <c r="D90" s="13" t="s">
        <v>18</v>
      </c>
      <c r="E90" s="14" t="s">
        <v>121</v>
      </c>
      <c r="F90" s="14"/>
      <c r="G90" s="42"/>
      <c r="I90" s="15"/>
    </row>
    <row r="91" spans="1:9" x14ac:dyDescent="0.25">
      <c r="A91" s="39">
        <v>43608</v>
      </c>
      <c r="B91" s="33">
        <v>3</v>
      </c>
      <c r="C91" s="38">
        <v>0.75</v>
      </c>
      <c r="D91" s="13" t="s">
        <v>8</v>
      </c>
      <c r="E91" s="14" t="s">
        <v>120</v>
      </c>
      <c r="F91" s="14"/>
      <c r="G91" s="42"/>
      <c r="I91" s="15"/>
    </row>
    <row r="92" spans="1:9" x14ac:dyDescent="0.25">
      <c r="A92" s="39">
        <v>43608</v>
      </c>
      <c r="B92" s="33">
        <v>3</v>
      </c>
      <c r="C92" s="38">
        <v>0.5</v>
      </c>
      <c r="D92" s="13" t="s">
        <v>8</v>
      </c>
      <c r="E92" s="14" t="s">
        <v>119</v>
      </c>
      <c r="F92" s="14" t="s">
        <v>125</v>
      </c>
      <c r="G92" s="42"/>
      <c r="I92" s="15"/>
    </row>
    <row r="93" spans="1:9" x14ac:dyDescent="0.25">
      <c r="A93" s="39">
        <v>43608</v>
      </c>
      <c r="B93" s="33">
        <v>3</v>
      </c>
      <c r="C93" s="38">
        <v>1</v>
      </c>
      <c r="D93" s="13" t="s">
        <v>6</v>
      </c>
      <c r="E93" s="14" t="s">
        <v>118</v>
      </c>
      <c r="F93" s="14"/>
      <c r="G93" s="42"/>
      <c r="I93" s="15"/>
    </row>
    <row r="94" spans="1:9" x14ac:dyDescent="0.25">
      <c r="A94" s="39">
        <v>43608</v>
      </c>
      <c r="B94" s="33">
        <v>3</v>
      </c>
      <c r="C94" s="38">
        <v>0.75</v>
      </c>
      <c r="D94" s="13" t="s">
        <v>6</v>
      </c>
      <c r="E94" s="14" t="s">
        <v>117</v>
      </c>
      <c r="F94" s="14"/>
      <c r="G94" s="42"/>
      <c r="I94" s="15"/>
    </row>
    <row r="95" spans="1:9" x14ac:dyDescent="0.25">
      <c r="A95" s="44" t="s">
        <v>39</v>
      </c>
      <c r="B95" s="45"/>
      <c r="C95" s="37">
        <f>SUM(C88:C94)</f>
        <v>6.75</v>
      </c>
      <c r="D95" s="35"/>
      <c r="E95" s="36"/>
      <c r="F95" s="36"/>
      <c r="G95" s="43"/>
      <c r="I95" s="15"/>
    </row>
    <row r="96" spans="1:9" x14ac:dyDescent="0.25">
      <c r="A96" s="39">
        <v>43609</v>
      </c>
      <c r="B96" s="33">
        <v>3</v>
      </c>
      <c r="C96" s="38">
        <v>0.5</v>
      </c>
      <c r="D96" s="13" t="s">
        <v>14</v>
      </c>
      <c r="E96" s="14" t="s">
        <v>127</v>
      </c>
      <c r="F96" s="14"/>
      <c r="G96" s="46" t="s">
        <v>124</v>
      </c>
      <c r="I96" s="15"/>
    </row>
    <row r="97" spans="1:9" x14ac:dyDescent="0.25">
      <c r="A97" s="39">
        <v>43609</v>
      </c>
      <c r="B97" s="33">
        <v>3</v>
      </c>
      <c r="C97" s="38">
        <v>0.5</v>
      </c>
      <c r="D97" s="13" t="s">
        <v>6</v>
      </c>
      <c r="E97" s="14" t="s">
        <v>129</v>
      </c>
      <c r="F97" s="14"/>
      <c r="G97" s="47"/>
      <c r="I97" s="15"/>
    </row>
    <row r="98" spans="1:9" ht="30" x14ac:dyDescent="0.25">
      <c r="A98" s="39">
        <v>43609</v>
      </c>
      <c r="B98" s="33">
        <v>3</v>
      </c>
      <c r="C98" s="38">
        <v>0.75</v>
      </c>
      <c r="D98" s="13" t="s">
        <v>6</v>
      </c>
      <c r="E98" s="14" t="s">
        <v>128</v>
      </c>
      <c r="F98" s="14"/>
      <c r="G98" s="47"/>
      <c r="I98" s="15"/>
    </row>
    <row r="99" spans="1:9" x14ac:dyDescent="0.25">
      <c r="A99" s="39">
        <v>43609</v>
      </c>
      <c r="B99" s="33">
        <v>3</v>
      </c>
      <c r="C99" s="38">
        <v>1</v>
      </c>
      <c r="D99" s="13" t="s">
        <v>6</v>
      </c>
      <c r="E99" s="14" t="s">
        <v>130</v>
      </c>
      <c r="F99" s="14"/>
      <c r="G99" s="47"/>
      <c r="I99" s="15"/>
    </row>
    <row r="100" spans="1:9" x14ac:dyDescent="0.25">
      <c r="A100" s="39">
        <v>43609</v>
      </c>
      <c r="B100" s="33">
        <v>3</v>
      </c>
      <c r="C100" s="38">
        <v>0.75</v>
      </c>
      <c r="D100" s="13" t="s">
        <v>7</v>
      </c>
      <c r="E100" s="14" t="s">
        <v>131</v>
      </c>
      <c r="F100" s="14"/>
      <c r="G100" s="47"/>
      <c r="I100" s="15"/>
    </row>
    <row r="101" spans="1:9" x14ac:dyDescent="0.25">
      <c r="A101" s="39">
        <v>43609</v>
      </c>
      <c r="B101" s="33">
        <v>3</v>
      </c>
      <c r="C101" s="38">
        <v>1</v>
      </c>
      <c r="D101" s="13" t="s">
        <v>6</v>
      </c>
      <c r="E101" s="14" t="s">
        <v>132</v>
      </c>
      <c r="F101" s="14"/>
      <c r="G101" s="47"/>
      <c r="I101" s="15"/>
    </row>
    <row r="102" spans="1:9" x14ac:dyDescent="0.25">
      <c r="A102" s="39">
        <v>43609</v>
      </c>
      <c r="B102" s="33">
        <v>3</v>
      </c>
      <c r="C102" s="38">
        <v>0.75</v>
      </c>
      <c r="D102" s="13" t="s">
        <v>6</v>
      </c>
      <c r="E102" s="14" t="s">
        <v>133</v>
      </c>
      <c r="F102" s="14"/>
      <c r="G102" s="47"/>
      <c r="I102" s="15"/>
    </row>
    <row r="103" spans="1:9" x14ac:dyDescent="0.25">
      <c r="A103" s="44" t="s">
        <v>39</v>
      </c>
      <c r="B103" s="45"/>
      <c r="C103" s="37">
        <f>SUM(C96:C102)</f>
        <v>5.25</v>
      </c>
      <c r="D103" s="35"/>
      <c r="E103" s="36"/>
      <c r="F103" s="36"/>
      <c r="G103" s="48"/>
      <c r="I103" s="15"/>
    </row>
    <row r="104" spans="1:9" ht="15" customHeight="1" x14ac:dyDescent="0.25">
      <c r="A104" s="39">
        <v>43613</v>
      </c>
      <c r="B104" s="33">
        <v>4</v>
      </c>
      <c r="C104" s="38">
        <v>0.5</v>
      </c>
      <c r="D104" s="13" t="s">
        <v>6</v>
      </c>
      <c r="E104" s="14" t="s">
        <v>134</v>
      </c>
      <c r="F104" s="14"/>
      <c r="G104" s="41" t="s">
        <v>148</v>
      </c>
      <c r="I104" s="15"/>
    </row>
    <row r="105" spans="1:9" ht="45" x14ac:dyDescent="0.25">
      <c r="A105" s="39">
        <v>43613</v>
      </c>
      <c r="B105" s="33">
        <v>4</v>
      </c>
      <c r="C105" s="38">
        <v>0.25</v>
      </c>
      <c r="D105" s="13" t="s">
        <v>36</v>
      </c>
      <c r="E105" s="14" t="s">
        <v>135</v>
      </c>
      <c r="F105" s="14" t="s">
        <v>136</v>
      </c>
      <c r="G105" s="42"/>
      <c r="I105" s="15"/>
    </row>
    <row r="106" spans="1:9" x14ac:dyDescent="0.25">
      <c r="A106" s="39">
        <v>43613</v>
      </c>
      <c r="B106" s="33">
        <v>4</v>
      </c>
      <c r="C106" s="38">
        <v>0.15</v>
      </c>
      <c r="D106" s="13" t="s">
        <v>27</v>
      </c>
      <c r="E106" s="14" t="s">
        <v>138</v>
      </c>
      <c r="F106" s="40" t="s">
        <v>139</v>
      </c>
      <c r="G106" s="42"/>
      <c r="I106" s="15"/>
    </row>
    <row r="107" spans="1:9" ht="45" x14ac:dyDescent="0.25">
      <c r="A107" s="39">
        <v>43613</v>
      </c>
      <c r="B107" s="33">
        <v>4</v>
      </c>
      <c r="C107" s="38">
        <v>1</v>
      </c>
      <c r="D107" s="13" t="s">
        <v>6</v>
      </c>
      <c r="E107" s="14" t="s">
        <v>137</v>
      </c>
      <c r="F107" s="14" t="s">
        <v>140</v>
      </c>
      <c r="G107" s="42"/>
      <c r="I107" s="15"/>
    </row>
    <row r="108" spans="1:9" ht="45" x14ac:dyDescent="0.25">
      <c r="A108" s="39">
        <v>43613</v>
      </c>
      <c r="B108" s="33">
        <v>4</v>
      </c>
      <c r="C108" s="38">
        <v>2</v>
      </c>
      <c r="D108" s="13" t="s">
        <v>6</v>
      </c>
      <c r="E108" s="14" t="s">
        <v>141</v>
      </c>
      <c r="F108" s="14" t="s">
        <v>142</v>
      </c>
      <c r="G108" s="42"/>
      <c r="I108" s="15"/>
    </row>
    <row r="109" spans="1:9" ht="45" x14ac:dyDescent="0.25">
      <c r="A109" s="39">
        <v>43613</v>
      </c>
      <c r="B109" s="33">
        <v>4</v>
      </c>
      <c r="C109" s="38">
        <v>2</v>
      </c>
      <c r="D109" s="13" t="s">
        <v>6</v>
      </c>
      <c r="E109" s="14" t="s">
        <v>143</v>
      </c>
      <c r="F109" s="14" t="s">
        <v>144</v>
      </c>
      <c r="G109" s="42"/>
      <c r="I109" s="15"/>
    </row>
    <row r="110" spans="1:9" ht="30" x14ac:dyDescent="0.25">
      <c r="A110" s="39">
        <v>43613</v>
      </c>
      <c r="B110" s="33">
        <v>4</v>
      </c>
      <c r="C110" s="38">
        <v>0.5</v>
      </c>
      <c r="D110" s="13" t="s">
        <v>6</v>
      </c>
      <c r="E110" s="14" t="s">
        <v>145</v>
      </c>
      <c r="F110" s="14" t="s">
        <v>146</v>
      </c>
      <c r="G110" s="42"/>
      <c r="I110" s="15"/>
    </row>
    <row r="111" spans="1:9" x14ac:dyDescent="0.25">
      <c r="A111" s="39">
        <v>43613</v>
      </c>
      <c r="B111" s="33">
        <v>4</v>
      </c>
      <c r="C111" s="38">
        <v>0.35</v>
      </c>
      <c r="D111" s="13" t="s">
        <v>6</v>
      </c>
      <c r="E111" s="14" t="s">
        <v>147</v>
      </c>
      <c r="F111" s="14"/>
      <c r="G111" s="42"/>
      <c r="I111" s="15"/>
    </row>
    <row r="112" spans="1:9" x14ac:dyDescent="0.25">
      <c r="A112" s="44" t="s">
        <v>39</v>
      </c>
      <c r="B112" s="45"/>
      <c r="C112" s="37">
        <f>SUM(C104:C111)</f>
        <v>6.75</v>
      </c>
      <c r="D112" s="35"/>
      <c r="E112" s="36"/>
      <c r="F112" s="36"/>
      <c r="G112" s="43"/>
      <c r="I112" s="15"/>
    </row>
    <row r="113" spans="1:9" x14ac:dyDescent="0.25">
      <c r="A113" s="39">
        <v>43614</v>
      </c>
      <c r="B113" s="33">
        <v>4</v>
      </c>
      <c r="C113" s="38">
        <v>1</v>
      </c>
      <c r="D113" s="13" t="s">
        <v>14</v>
      </c>
      <c r="E113" s="14" t="s">
        <v>149</v>
      </c>
      <c r="F113" s="14"/>
      <c r="G113" s="41" t="s">
        <v>157</v>
      </c>
      <c r="I113" s="15"/>
    </row>
    <row r="114" spans="1:9" x14ac:dyDescent="0.25">
      <c r="A114" s="39">
        <v>43614</v>
      </c>
      <c r="B114" s="33">
        <v>4</v>
      </c>
      <c r="C114" s="38">
        <v>0.1</v>
      </c>
      <c r="D114" s="13" t="s">
        <v>8</v>
      </c>
      <c r="E114" s="14" t="s">
        <v>151</v>
      </c>
      <c r="F114" s="14"/>
      <c r="G114" s="42"/>
      <c r="I114" s="15"/>
    </row>
    <row r="115" spans="1:9" x14ac:dyDescent="0.25">
      <c r="A115" s="39">
        <v>43614</v>
      </c>
      <c r="B115" s="33">
        <v>4</v>
      </c>
      <c r="C115" s="38">
        <v>0.1</v>
      </c>
      <c r="D115" s="13" t="s">
        <v>36</v>
      </c>
      <c r="E115" s="14" t="s">
        <v>150</v>
      </c>
      <c r="F115" s="14"/>
      <c r="G115" s="42"/>
      <c r="I115" s="15"/>
    </row>
    <row r="116" spans="1:9" ht="30" x14ac:dyDescent="0.25">
      <c r="A116" s="39">
        <v>43614</v>
      </c>
      <c r="B116" s="33">
        <v>4</v>
      </c>
      <c r="C116" s="38">
        <v>0.15</v>
      </c>
      <c r="D116" s="13" t="s">
        <v>36</v>
      </c>
      <c r="E116" s="14" t="s">
        <v>152</v>
      </c>
      <c r="F116" s="14"/>
      <c r="G116" s="42"/>
      <c r="I116" s="15"/>
    </row>
    <row r="117" spans="1:9" x14ac:dyDescent="0.25">
      <c r="A117" s="39">
        <v>43614</v>
      </c>
      <c r="B117" s="33">
        <v>4</v>
      </c>
      <c r="C117" s="38">
        <v>1.25</v>
      </c>
      <c r="D117" s="13" t="s">
        <v>6</v>
      </c>
      <c r="E117" s="14" t="s">
        <v>153</v>
      </c>
      <c r="F117" s="14"/>
      <c r="G117" s="42"/>
      <c r="I117" s="15"/>
    </row>
    <row r="118" spans="1:9" ht="30" x14ac:dyDescent="0.25">
      <c r="A118" s="39">
        <v>43614</v>
      </c>
      <c r="B118" s="33">
        <v>4</v>
      </c>
      <c r="C118" s="38">
        <v>0.25</v>
      </c>
      <c r="D118" s="13" t="s">
        <v>6</v>
      </c>
      <c r="E118" s="14" t="s">
        <v>154</v>
      </c>
      <c r="F118" s="14"/>
      <c r="G118" s="42"/>
      <c r="I118" s="15"/>
    </row>
    <row r="119" spans="1:9" x14ac:dyDescent="0.25">
      <c r="A119" s="39">
        <v>43614</v>
      </c>
      <c r="B119" s="33">
        <v>4</v>
      </c>
      <c r="C119" s="38">
        <v>1.1499999999999999</v>
      </c>
      <c r="D119" s="13" t="s">
        <v>6</v>
      </c>
      <c r="E119" s="14" t="s">
        <v>156</v>
      </c>
      <c r="F119" s="14"/>
      <c r="G119" s="42"/>
      <c r="I119" s="15"/>
    </row>
    <row r="120" spans="1:9" ht="22.5" customHeight="1" x14ac:dyDescent="0.25">
      <c r="A120" s="44" t="s">
        <v>39</v>
      </c>
      <c r="B120" s="45"/>
      <c r="C120" s="37">
        <f>SUM(C113:C119)</f>
        <v>4</v>
      </c>
      <c r="D120" s="35"/>
      <c r="E120" s="36"/>
      <c r="F120" s="36"/>
      <c r="G120" s="43"/>
      <c r="I120" s="15"/>
    </row>
    <row r="121" spans="1:9" x14ac:dyDescent="0.25">
      <c r="A121" s="11"/>
      <c r="B121" s="11"/>
      <c r="C121" s="11"/>
      <c r="D121" s="11"/>
      <c r="E121" s="11"/>
      <c r="F121" s="11"/>
      <c r="G121"/>
      <c r="I121" s="15"/>
    </row>
    <row r="122" spans="1:9" ht="15" customHeight="1" x14ac:dyDescent="0.25">
      <c r="A122" s="23"/>
      <c r="B122" s="24"/>
      <c r="C122" s="25"/>
      <c r="D122" s="26"/>
      <c r="E122" s="27"/>
      <c r="F122" s="27"/>
      <c r="G122"/>
      <c r="I122" s="15"/>
    </row>
    <row r="123" spans="1:9" x14ac:dyDescent="0.25">
      <c r="A123" s="23"/>
      <c r="B123" s="24"/>
      <c r="C123" s="25"/>
      <c r="D123" s="26"/>
      <c r="E123" s="27"/>
      <c r="F123" s="27"/>
      <c r="G123" s="27"/>
    </row>
    <row r="124" spans="1:9" x14ac:dyDescent="0.25">
      <c r="A124" s="21"/>
    </row>
  </sheetData>
  <sheetProtection selectLockedCells="1"/>
  <mergeCells count="29">
    <mergeCell ref="A76:B76"/>
    <mergeCell ref="G69:G76"/>
    <mergeCell ref="A83:B83"/>
    <mergeCell ref="G77:G83"/>
    <mergeCell ref="A87:B87"/>
    <mergeCell ref="G84:G87"/>
    <mergeCell ref="G61:G68"/>
    <mergeCell ref="A1:G2"/>
    <mergeCell ref="G16:G22"/>
    <mergeCell ref="G7:G15"/>
    <mergeCell ref="A15:B15"/>
    <mergeCell ref="A22:B22"/>
    <mergeCell ref="A32:B32"/>
    <mergeCell ref="A44:B44"/>
    <mergeCell ref="G33:G44"/>
    <mergeCell ref="A55:B55"/>
    <mergeCell ref="G45:G55"/>
    <mergeCell ref="A60:B60"/>
    <mergeCell ref="G56:G60"/>
    <mergeCell ref="A68:B68"/>
    <mergeCell ref="G23:G32"/>
    <mergeCell ref="A103:B103"/>
    <mergeCell ref="G96:G103"/>
    <mergeCell ref="A95:B95"/>
    <mergeCell ref="G88:G95"/>
    <mergeCell ref="A120:B120"/>
    <mergeCell ref="A112:B112"/>
    <mergeCell ref="G104:G112"/>
    <mergeCell ref="G113:G120"/>
  </mergeCells>
  <dataValidations count="1">
    <dataValidation type="list" showInputMessage="1" showErrorMessage="1" sqref="D122:D123">
      <formula1>$A$2:$A$15</formula1>
    </dataValidation>
  </dataValidations>
  <hyperlinks>
    <hyperlink ref="F106" r:id="rId1"/>
  </hyperlinks>
  <pageMargins left="0.70866141732283472" right="0.70866141732283472" top="0.74803149606299213" bottom="0.74803149606299213" header="0.31496062992125984" footer="0.31496062992125984"/>
  <pageSetup paperSize="8" scale="75" fitToHeight="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Paramètres!$A$2:$A$11</xm:f>
          </x14:formula1>
          <xm:sqref>D7:D120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K18"/>
  <sheetViews>
    <sheetView workbookViewId="0">
      <selection activeCell="C36" sqref="C36"/>
    </sheetView>
  </sheetViews>
  <sheetFormatPr baseColWidth="10" defaultRowHeight="15" x14ac:dyDescent="0.25"/>
  <cols>
    <col min="1" max="1" width="25" bestFit="1" customWidth="1"/>
    <col min="2" max="2" width="14.7109375" bestFit="1" customWidth="1"/>
    <col min="3" max="3" width="15.42578125" bestFit="1" customWidth="1"/>
    <col min="4" max="4" width="8.5703125" bestFit="1" customWidth="1"/>
    <col min="5" max="6" width="10.28515625" bestFit="1" customWidth="1"/>
    <col min="7" max="7" width="6.28515625" bestFit="1" customWidth="1"/>
    <col min="8" max="8" width="12.85546875" bestFit="1" customWidth="1"/>
    <col min="9" max="9" width="6.85546875" bestFit="1" customWidth="1"/>
    <col min="10" max="10" width="5.5703125" bestFit="1" customWidth="1"/>
    <col min="11" max="11" width="12.5703125" bestFit="1" customWidth="1"/>
    <col min="12" max="12" width="22" bestFit="1" customWidth="1"/>
    <col min="13" max="13" width="17.7109375" bestFit="1" customWidth="1"/>
  </cols>
  <sheetData>
    <row r="3" spans="1:11" x14ac:dyDescent="0.25">
      <c r="A3" s="4" t="s">
        <v>12</v>
      </c>
    </row>
    <row r="4" spans="1:11" x14ac:dyDescent="0.25">
      <c r="B4" t="s">
        <v>8</v>
      </c>
      <c r="C4" t="s">
        <v>6</v>
      </c>
      <c r="D4" t="s">
        <v>14</v>
      </c>
      <c r="E4" t="s">
        <v>18</v>
      </c>
      <c r="F4" t="s">
        <v>27</v>
      </c>
      <c r="G4" t="s">
        <v>34</v>
      </c>
      <c r="H4" t="s">
        <v>36</v>
      </c>
      <c r="I4" t="s">
        <v>40</v>
      </c>
      <c r="J4" t="s">
        <v>7</v>
      </c>
      <c r="K4" t="s">
        <v>10</v>
      </c>
    </row>
    <row r="5" spans="1:11" x14ac:dyDescent="0.25">
      <c r="A5" s="5">
        <v>43592</v>
      </c>
      <c r="B5" s="3">
        <v>2.5</v>
      </c>
      <c r="C5" s="3">
        <v>1</v>
      </c>
      <c r="D5" s="3">
        <v>1.75</v>
      </c>
      <c r="E5" s="3">
        <v>1.25</v>
      </c>
      <c r="F5" s="3"/>
      <c r="G5" s="3"/>
      <c r="H5" s="3"/>
      <c r="I5" s="3"/>
      <c r="J5" s="3"/>
      <c r="K5" s="3">
        <v>6.5</v>
      </c>
    </row>
    <row r="6" spans="1:11" x14ac:dyDescent="0.25">
      <c r="A6" s="5">
        <v>43593</v>
      </c>
      <c r="B6" s="3">
        <v>3</v>
      </c>
      <c r="C6" s="3">
        <v>0.5</v>
      </c>
      <c r="D6" s="3"/>
      <c r="E6" s="3"/>
      <c r="F6" s="3">
        <v>0.5</v>
      </c>
      <c r="G6" s="3"/>
      <c r="H6" s="3"/>
      <c r="I6" s="3"/>
      <c r="J6" s="3"/>
      <c r="K6" s="3">
        <v>4</v>
      </c>
    </row>
    <row r="7" spans="1:11" x14ac:dyDescent="0.25">
      <c r="A7" s="5">
        <v>43594</v>
      </c>
      <c r="B7" s="3">
        <v>2.25</v>
      </c>
      <c r="C7" s="3">
        <v>1</v>
      </c>
      <c r="D7" s="3">
        <v>0.75</v>
      </c>
      <c r="E7" s="3">
        <v>0.75</v>
      </c>
      <c r="F7" s="3">
        <v>1</v>
      </c>
      <c r="G7" s="3"/>
      <c r="H7" s="3">
        <v>1</v>
      </c>
      <c r="I7" s="3"/>
      <c r="J7" s="3"/>
      <c r="K7" s="3">
        <v>6.75</v>
      </c>
    </row>
    <row r="8" spans="1:11" x14ac:dyDescent="0.25">
      <c r="A8" s="5" t="s">
        <v>39</v>
      </c>
      <c r="B8" s="3"/>
      <c r="C8" s="3"/>
      <c r="D8" s="3"/>
      <c r="E8" s="3"/>
      <c r="F8" s="3"/>
      <c r="G8" s="3">
        <v>68</v>
      </c>
      <c r="H8" s="3"/>
      <c r="I8" s="3"/>
      <c r="J8" s="3"/>
      <c r="K8" s="3">
        <v>68</v>
      </c>
    </row>
    <row r="9" spans="1:11" x14ac:dyDescent="0.25">
      <c r="A9" s="5">
        <v>43595</v>
      </c>
      <c r="B9" s="3">
        <v>4.75</v>
      </c>
      <c r="C9" s="3"/>
      <c r="D9" s="3"/>
      <c r="E9" s="3">
        <v>0.25</v>
      </c>
      <c r="F9" s="3">
        <v>0.25</v>
      </c>
      <c r="G9" s="3"/>
      <c r="H9" s="3"/>
      <c r="I9" s="3"/>
      <c r="J9" s="3"/>
      <c r="K9" s="3">
        <v>5.25</v>
      </c>
    </row>
    <row r="10" spans="1:11" x14ac:dyDescent="0.25">
      <c r="A10" s="5">
        <v>43599</v>
      </c>
      <c r="B10" s="3">
        <v>3</v>
      </c>
      <c r="C10" s="3"/>
      <c r="D10" s="3">
        <v>1.5</v>
      </c>
      <c r="E10" s="3"/>
      <c r="F10" s="3"/>
      <c r="G10" s="3"/>
      <c r="H10" s="3">
        <v>1.5</v>
      </c>
      <c r="I10" s="3">
        <v>0.75</v>
      </c>
      <c r="J10" s="3"/>
      <c r="K10" s="3">
        <v>6.75</v>
      </c>
    </row>
    <row r="11" spans="1:11" x14ac:dyDescent="0.25">
      <c r="A11" s="5">
        <v>43600</v>
      </c>
      <c r="B11" s="3">
        <v>0.5</v>
      </c>
      <c r="C11" s="3"/>
      <c r="D11" s="3">
        <v>0.5</v>
      </c>
      <c r="E11" s="3"/>
      <c r="F11" s="3"/>
      <c r="G11" s="3"/>
      <c r="H11" s="3">
        <v>3</v>
      </c>
      <c r="I11" s="3"/>
      <c r="J11" s="3"/>
      <c r="K11" s="3">
        <v>4</v>
      </c>
    </row>
    <row r="12" spans="1:11" x14ac:dyDescent="0.25">
      <c r="A12" s="5">
        <v>43601</v>
      </c>
      <c r="B12" s="3">
        <v>1.25</v>
      </c>
      <c r="C12" s="3">
        <v>4</v>
      </c>
      <c r="D12" s="3"/>
      <c r="E12" s="3"/>
      <c r="F12" s="3"/>
      <c r="G12" s="3"/>
      <c r="H12" s="3">
        <v>1.5</v>
      </c>
      <c r="I12" s="3"/>
      <c r="J12" s="3"/>
      <c r="K12" s="3">
        <v>6.75</v>
      </c>
    </row>
    <row r="13" spans="1:11" x14ac:dyDescent="0.25">
      <c r="A13" s="5">
        <v>43602</v>
      </c>
      <c r="B13" s="3">
        <v>0.5</v>
      </c>
      <c r="C13" s="3">
        <v>4.25</v>
      </c>
      <c r="D13" s="3"/>
      <c r="E13" s="3"/>
      <c r="F13" s="3"/>
      <c r="G13" s="3"/>
      <c r="H13" s="3">
        <v>0.5</v>
      </c>
      <c r="I13" s="3"/>
      <c r="J13" s="3"/>
      <c r="K13" s="3">
        <v>5.25</v>
      </c>
    </row>
    <row r="14" spans="1:11" x14ac:dyDescent="0.25">
      <c r="A14" s="5">
        <v>43606</v>
      </c>
      <c r="B14" s="3"/>
      <c r="C14" s="3">
        <v>6</v>
      </c>
      <c r="D14" s="3"/>
      <c r="E14" s="3"/>
      <c r="F14" s="3"/>
      <c r="G14" s="3"/>
      <c r="H14" s="3">
        <v>0.75</v>
      </c>
      <c r="I14" s="3"/>
      <c r="J14" s="3"/>
      <c r="K14" s="3">
        <v>6.75</v>
      </c>
    </row>
    <row r="15" spans="1:11" x14ac:dyDescent="0.25">
      <c r="A15" s="5">
        <v>43607</v>
      </c>
      <c r="B15" s="3"/>
      <c r="C15" s="3">
        <v>1</v>
      </c>
      <c r="D15" s="3">
        <v>1.5</v>
      </c>
      <c r="E15" s="3"/>
      <c r="F15" s="3"/>
      <c r="G15" s="3"/>
      <c r="H15" s="3">
        <v>1.5</v>
      </c>
      <c r="I15" s="3"/>
      <c r="J15" s="3"/>
      <c r="K15" s="3">
        <v>4</v>
      </c>
    </row>
    <row r="16" spans="1:11" x14ac:dyDescent="0.25">
      <c r="A16" s="5">
        <v>43608</v>
      </c>
      <c r="B16" s="3">
        <v>2.75</v>
      </c>
      <c r="C16" s="3">
        <v>3.75</v>
      </c>
      <c r="D16" s="3"/>
      <c r="E16" s="3">
        <v>0.25</v>
      </c>
      <c r="F16" s="3"/>
      <c r="G16" s="3"/>
      <c r="H16" s="3"/>
      <c r="I16" s="3"/>
      <c r="J16" s="3"/>
      <c r="K16" s="3">
        <v>6.75</v>
      </c>
    </row>
    <row r="17" spans="1:11" x14ac:dyDescent="0.25">
      <c r="A17" s="5">
        <v>43609</v>
      </c>
      <c r="B17" s="3"/>
      <c r="C17" s="3">
        <v>4</v>
      </c>
      <c r="D17" s="3">
        <v>0.5</v>
      </c>
      <c r="E17" s="3"/>
      <c r="F17" s="3"/>
      <c r="G17" s="3"/>
      <c r="H17" s="3"/>
      <c r="I17" s="3"/>
      <c r="J17" s="3">
        <v>0.75</v>
      </c>
      <c r="K17" s="3">
        <v>5.25</v>
      </c>
    </row>
    <row r="18" spans="1:11" x14ac:dyDescent="0.25">
      <c r="A18" s="5" t="s">
        <v>10</v>
      </c>
      <c r="B18" s="3">
        <v>20.5</v>
      </c>
      <c r="C18" s="3">
        <v>25.5</v>
      </c>
      <c r="D18" s="3">
        <v>6.5</v>
      </c>
      <c r="E18" s="3">
        <v>2.5</v>
      </c>
      <c r="F18" s="3">
        <v>1.75</v>
      </c>
      <c r="G18" s="3">
        <v>68</v>
      </c>
      <c r="H18" s="3">
        <v>9.75</v>
      </c>
      <c r="I18" s="3">
        <v>0.75</v>
      </c>
      <c r="J18" s="3">
        <v>0.75</v>
      </c>
      <c r="K18" s="3">
        <v>136</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11"/>
  <sheetViews>
    <sheetView workbookViewId="0">
      <selection activeCell="B39" sqref="B39"/>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40</v>
      </c>
    </row>
    <row r="4" spans="1:1" x14ac:dyDescent="0.25">
      <c r="A4" t="s">
        <v>36</v>
      </c>
    </row>
    <row r="5" spans="1:1" x14ac:dyDescent="0.25">
      <c r="A5" t="s">
        <v>27</v>
      </c>
    </row>
    <row r="6" spans="1:1" x14ac:dyDescent="0.25">
      <c r="A6" t="s">
        <v>18</v>
      </c>
    </row>
    <row r="7" spans="1:1" x14ac:dyDescent="0.25">
      <c r="A7" t="s">
        <v>14</v>
      </c>
    </row>
    <row r="8" spans="1:1" x14ac:dyDescent="0.25">
      <c r="A8" s="1" t="s">
        <v>6</v>
      </c>
    </row>
    <row r="9" spans="1:1" x14ac:dyDescent="0.25">
      <c r="A9" s="1" t="s">
        <v>7</v>
      </c>
    </row>
    <row r="10" spans="1:1" x14ac:dyDescent="0.25">
      <c r="A10" s="1" t="s">
        <v>8</v>
      </c>
    </row>
    <row r="11" spans="1:1" x14ac:dyDescent="0.25">
      <c r="A11" s="1" t="s">
        <v>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19050</xdr:colOff>
                    <xdr:row>11</xdr:row>
                    <xdr:rowOff>19050</xdr:rowOff>
                  </from>
                  <to>
                    <xdr:col>0</xdr:col>
                    <xdr:colOff>990600</xdr:colOff>
                    <xdr:row>12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2019-05-29T09:27:29Z</dcterms:modified>
</cp:coreProperties>
</file>