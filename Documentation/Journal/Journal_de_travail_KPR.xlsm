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Journal!$A$1:$G$112</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112" i="1" l="1"/>
  <c r="C103" i="1"/>
  <c r="C95" i="1"/>
  <c r="C87" i="1"/>
  <c r="C83" i="1"/>
  <c r="C76" i="1"/>
  <c r="C68" i="1"/>
  <c r="C60" i="1"/>
  <c r="C55" i="1"/>
  <c r="C44" i="1"/>
  <c r="C32" i="1"/>
  <c r="C22" i="1"/>
  <c r="C15" i="1"/>
</calcChain>
</file>

<file path=xl/sharedStrings.xml><?xml version="1.0" encoding="utf-8"?>
<sst xmlns="http://schemas.openxmlformats.org/spreadsheetml/2006/main" count="266" uniqueCount="148">
  <si>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</si>
  <si>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</si>
  <si>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</si>
  <si>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</si>
  <si>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</si>
  <si>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</si>
  <si>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</si>
  <si>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</si>
  <si>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</si>
  <si>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</si>
  <si>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</si>
  <si>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</si>
  <si>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</si>
  <si>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</si>
  <si>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</si>
  <si>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</si>
  <si>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</si>
  <si>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</si>
  <si>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</si>
  <si>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</si>
  <si>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</si>
  <si>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</si>
  <si>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</si>
  <si>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</si>
  <si>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</si>
  <si>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</si>
  <si>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</si>
  <si>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</si>
  <si>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</si>
  <si>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</si>
  <si>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</si>
  <si>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</si>
  <si>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</si>
  <si>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</si>
  <si>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</si>
  <si>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</si>
  <si>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</si>
  <si>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</si>
  <si>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</si>
  <si>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</si>
  <si>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</si>
  <si>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</si>
  <si>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</si>
  <si>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</si>
  <si>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</si>
  <si>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</si>
  <si>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</si>
  <si>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</si>
  <si>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</si>
  <si>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</si>
  <si>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</si>
  <si>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</si>
  <si>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</si>
  <si>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</si>
  <si>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</si>
  <si>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</si>
  <si>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</si>
  <si>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</si>
  <si>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</si>
  <si>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</si>
  <si>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</si>
  <si>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</si>
  <si>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</si>
  <si>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</si>
  <si>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</si>
  <si>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</si>
  <si>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</si>
  <si>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</si>
  <si>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</si>
  <si>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</si>
  <si>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</si>
  <si>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</si>
  <si>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</si>
  <si>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</si>
  <si>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</si>
  <si>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</si>
  <si>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</si>
  <si>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</si>
  <si>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</si>
  <si>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</si>
  <si>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</si>
  <si>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</si>
  <si>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</si>
  <si>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</si>
  <si>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</si>
  <si>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</si>
  <si>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</si>
  <si>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</si>
  <si>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</si>
  <si>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</si>
  <si>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</si>
  <si>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</si>
  <si>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</si>
  <si>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</si>
  <si>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</si>
  <si>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</si>
  <si>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</si>
  <si>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</si>
  <si>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</si>
  <si>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</si>
  <si>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</si>
  <si>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</si>
  <si>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</si>
  <si>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</si>
  <si>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</si>
  <si>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</si>
  <si>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</si>
  <si>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</si>
  <si>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</si>
  <si>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</si>
  <si>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</si>
  <si>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</si>
  <si>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</si>
  <si>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Jour OK</t>
  </si>
  <si>
    <t>Modification dans le code afin que les emprunts se fassent correctement.</t>
  </si>
  <si>
    <t>Modification du MCD, MLD et du script.</t>
  </si>
  <si>
    <t>Meeting avec M. Favre concernant le MLD et la documentation.</t>
  </si>
  <si>
    <t>Implémentation de la page d'archive des emprunts.</t>
  </si>
  <si>
    <t>Implémentation de la fonctionnalité Check-out.</t>
  </si>
  <si>
    <t>Modification de mon introduction.</t>
  </si>
  <si>
    <t>Rédaction du résumé des sprints de Trello.</t>
  </si>
  <si>
    <t>Discussion avec M. Favre concernant les sprints .</t>
  </si>
  <si>
    <t>Implémentation de la fonctionnalité recherche.</t>
  </si>
  <si>
    <t>Modification de mon rapport avec la modification de la conclusion de l'analyse, de différents scénarii,du MCD et MLD.</t>
  </si>
  <si>
    <t>Bonne journée.</t>
  </si>
  <si>
    <t>Rajout de la partie "Contexte"</t>
  </si>
  <si>
    <t>Utilisation d'un code trouvé en ligne avec référence au code dans le projet. (La recherche ne s'effectue pas sur une autre page mais le bloc tout le matériel est remplacé par la recherche. La recherche ne se fait uniquement par le modèle)</t>
  </si>
  <si>
    <t>Review de l'avancement du TPI et de la suite du projet avec M. Ceran.</t>
  </si>
  <si>
    <t>Modification dans le formulaire d'emprunt afin que lorsque il n'y ait plus de matériel disponible la catégorie ne s'affiche pas.</t>
  </si>
  <si>
    <t>Sécurisation de mes champs inscriptions à l'aide des "Pattern".</t>
  </si>
  <si>
    <t>Ajout de la fonctionnalité "Rappel" lorsque un emprunt a sa date de retour dépassée.</t>
  </si>
  <si>
    <t>Test de la fonctionnalité "Rappel" sur le site mis en ligne (SwissCenter)</t>
  </si>
  <si>
    <t>Implémentation de la fonctionnalité "Ajouter un matériel"</t>
  </si>
  <si>
    <t>Implémentation de la fonctionnalité "Consommables"</t>
  </si>
  <si>
    <t>Date modif: 24.05.2019</t>
  </si>
  <si>
    <t>Implémentation de la fonction "Recherche de consommable"</t>
  </si>
  <si>
    <t>Ajout du champ limite dans la table Comptes</t>
  </si>
  <si>
    <t>Permet aux responsables des stocks de fixer une limite d'exemplaire de consommable qui ne doit pas être dépassé, si tel est le cas il recevra un mail pour lui rappeler de commander ce consommable</t>
  </si>
  <si>
    <t>Implémentation de la fonctionnalité "Formulaire d'octroi"</t>
  </si>
  <si>
    <t>Visionnage d'un tuto sur l'ajout d'input</t>
  </si>
  <si>
    <t>https://www.youtube.com/watch?v=rVmZXJj5lH0</t>
  </si>
  <si>
    <t xml:space="preserve">Afin de pouvoir créer des nouveaux champs lorsque le bouton "+" est cliqué, je me suis aidé de ce code : https://www.webslesson.info/p/source-code-of-dynamically-add-or.html et l'utilisation de la vidéo. </t>
  </si>
  <si>
    <t>Implémentation de la fonction "Ajout d'un consommable au formulaire"</t>
  </si>
  <si>
    <t>Problème concernant l'ajout de nouveaux champs à la suite du formulaire déjà existant. Pour résoudre ce problème, un script jquery lors du clic sur le bouton "+" est lancé permettant de faire afficher une page avec la suite du formulaire.</t>
  </si>
  <si>
    <t>Implémentation de la fonction "Recherche dynamique sur la liste du nouveau formulaire"</t>
  </si>
  <si>
    <t>Lors de la modification de la catégorie du premier formulaire, le champ modèle du 2ème formulaire est modifié. Afin de résoudre ce problème l'utilisation du variable de stockage est utilisée pour savoir qu'elle input est à modifier.</t>
  </si>
  <si>
    <t>Débug de la recherche dynamique</t>
  </si>
  <si>
    <t>L'utilisation d'une variable javascript ne permet pas l'incrémentation correctement, alors que l'utilisation d'une variable php permet d'incrémenter.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</si>
</sst>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
      <u/>
      <sz val="11"/>
      <color theme="10"/>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5">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xf numFmtId="0" fontId="10" fillId="0" borderId="0" applyNumberFormat="0" applyFill="0" applyBorder="0" applyAlignment="0" applyProtection="0"/>
  </cellStyleXfs>
  <cellXfs count="6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0" fontId="7" fillId="4" borderId="3" xfId="2" applyFont="1" applyBorder="1" applyAlignment="1">
      <alignment vertical="center" wrapText="1"/>
    </xf>
    <xf numFmtId="0" fontId="7" fillId="4" borderId="4" xfId="2" applyFont="1" applyBorder="1" applyAlignment="1">
      <alignment vertical="center" wrapText="1"/>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7" fillId="4" borderId="2" xfId="2" applyFont="1" applyBorder="1" applyAlignment="1">
      <alignment horizontal="center" vertical="center" wrapText="1"/>
    </xf>
    <xf numFmtId="0" fontId="7" fillId="4" borderId="3" xfId="2" applyFont="1" applyBorder="1" applyAlignment="1">
      <alignment horizontal="center" vertical="center" wrapText="1"/>
    </xf>
    <xf numFmtId="0" fontId="7" fillId="4" borderId="4" xfId="2" applyFont="1" applyBorder="1" applyAlignment="1">
      <alignment horizontal="center" vertical="center" wrapText="1"/>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7" fillId="4" borderId="4" xfId="2" applyBorder="1" applyAlignment="1">
      <alignment horizontal="center" vertical="center" wrapText="1"/>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0" fontId="10" fillId="0" borderId="1" xfId="4" applyBorder="1" applyAlignment="1" applyProtection="1">
      <alignment horizontal="left" vertical="center" wrapText="1"/>
      <protection locked="0"/>
    </xf>
  </cellXfs>
  <cellStyles count="5">
    <cellStyle name="Calcul" xfId="3" builtinId="22"/>
    <cellStyle name="Lien hypertexte" xfId="4" builtinId="8"/>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9.616062962959" createdVersion="6" refreshedVersion="6" minRefreshableVersion="3" recordCount="97">
  <cacheSource type="worksheet">
    <worksheetSource ref="A6:E112" sheet="Journal"/>
  </cacheSource>
  <cacheFields count="5">
    <cacheField name="Jour" numFmtId="0">
      <sharedItems containsDate="1" containsBlank="1" containsMixedTypes="1" minDate="2019-05-07T00:00:00" maxDate="2019-05-25T00:00:00" count="15">
        <d v="2019-05-07T00:00:00"/>
        <s v="Total d'heures journalières"/>
        <d v="2019-05-08T00:00:00"/>
        <d v="2019-05-09T00:00:00"/>
        <d v="2019-05-10T00:00:00"/>
        <d v="2019-05-14T00:00:00"/>
        <d v="2019-05-15T00:00:00"/>
        <d v="2019-05-16T00:00:00"/>
        <d v="2019-05-17T00:00:00"/>
        <d v="2019-05-21T00:00:00"/>
        <d v="2019-05-22T00:00:00"/>
        <d v="2019-05-23T00:00:00"/>
        <d v="2019-05-24T00:00:00"/>
        <m u="1"/>
        <s v="Total d'heures journalier" u="1"/>
      </sharedItems>
    </cacheField>
    <cacheField name="Semaine" numFmtId="1">
      <sharedItems containsString="0" containsBlank="1" containsNumber="1" containsInteger="1" minValue="1" maxValue="3"/>
    </cacheField>
    <cacheField name="Temps [h]" numFmtId="2">
      <sharedItems containsSemiMixedTypes="0" containsString="0" containsNumber="1" minValue="0.25" maxValue="6.75"/>
    </cacheField>
    <cacheField name="Type" numFmtId="0">
      <sharedItems containsBlank="1" count="9">
        <s v="Meeting"/>
        <s v="Documentation"/>
        <s v="Discussion"/>
        <s v="Implémentation"/>
        <m/>
        <s v="Recherche"/>
        <s v="Modélisation"/>
        <s v="Autres"/>
        <s v="Test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7">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0.5"/>
    <x v="1"/>
    <s v="Rédaction de l'analyse concurrentielle (Suite GLPI et Service desk, ajout de snipe-it)."/>
  </r>
  <r>
    <x v="4"/>
    <n v="1"/>
    <n v="0.25"/>
    <x v="5"/>
    <s v="Recherche concernant la barre de recherche de matériel et consommable."/>
  </r>
  <r>
    <x v="4"/>
    <n v="1"/>
    <n v="0.5"/>
    <x v="1"/>
    <s v="Rédaction de la partie stratégie de tests."/>
  </r>
  <r>
    <x v="4"/>
    <n v="1"/>
    <n v="0.75"/>
    <x v="1"/>
    <s v="Réalisation des maquettes connexion et inscription."/>
  </r>
  <r>
    <x v="4"/>
    <n v="1"/>
    <n v="0.75"/>
    <x v="1"/>
    <s v="Rédaction de la partie dossier de conception."/>
  </r>
  <r>
    <x v="4"/>
    <n v="1"/>
    <n v="0.7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5.2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1.5"/>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25"/>
    <x v="3"/>
    <s v="Réalisation de la page du matériel afin d'avoir tout le matériel qu'il soit disponible ou non."/>
  </r>
  <r>
    <x v="8"/>
    <n v="2"/>
    <n v="0.5"/>
    <x v="1"/>
    <s v="Ajout de maquettes dans ma documentation."/>
  </r>
  <r>
    <x v="8"/>
    <n v="2"/>
    <n v="0.75"/>
    <x v="3"/>
    <s v="Mise en ligne de mon site sur Swisscenter."/>
  </r>
  <r>
    <x v="8"/>
    <n v="2"/>
    <n v="0.5"/>
    <x v="3"/>
    <s v="Ajout d'une sécurité afin qu'aucun utilisateur non authentifié ne puisse accéder au site."/>
  </r>
  <r>
    <x v="8"/>
    <n v="2"/>
    <n v="0.25"/>
    <x v="3"/>
    <s v="Mise en forme de mon site."/>
  </r>
  <r>
    <x v="1"/>
    <m/>
    <n v="5.2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n v="1.5"/>
    <x v="0"/>
    <s v="Meeting avec M. Favre concernant le MLD et la documentation."/>
  </r>
  <r>
    <x v="10"/>
    <n v="3"/>
    <n v="1.5"/>
    <x v="6"/>
    <s v="Modification du MCD, MLD et du script."/>
  </r>
  <r>
    <x v="10"/>
    <n v="3"/>
    <n v="1"/>
    <x v="3"/>
    <s v="Modification dans le code afin que les emprunts se fassent correctement."/>
  </r>
  <r>
    <x v="1"/>
    <m/>
    <n v="4"/>
    <x v="4"/>
    <m/>
  </r>
  <r>
    <x v="11"/>
    <n v="3"/>
    <n v="1.5"/>
    <x v="1"/>
    <s v="Modification de mon rapport avec la modification de la conclusion de l'analyse, de différents scénarii,du MCD et MLD."/>
  </r>
  <r>
    <x v="11"/>
    <n v="3"/>
    <n v="2"/>
    <x v="3"/>
    <s v="Implémentation de la fonctionnalité recherche."/>
  </r>
  <r>
    <x v="11"/>
    <n v="3"/>
    <n v="0.25"/>
    <x v="2"/>
    <s v="Discussion avec M. Favre concernant les sprints ."/>
  </r>
  <r>
    <x v="11"/>
    <n v="3"/>
    <n v="0.75"/>
    <x v="1"/>
    <s v="Rédaction du résumé des sprints de Trello."/>
  </r>
  <r>
    <x v="11"/>
    <n v="3"/>
    <n v="0.5"/>
    <x v="1"/>
    <s v="Modification de mon introduction."/>
  </r>
  <r>
    <x v="11"/>
    <n v="3"/>
    <n v="1"/>
    <x v="3"/>
    <s v="Implémentation de la fonctionnalité Check-out."/>
  </r>
  <r>
    <x v="11"/>
    <n v="3"/>
    <n v="0.75"/>
    <x v="3"/>
    <s v="Implémentation de la page d'archive des emprunts."/>
  </r>
  <r>
    <x v="1"/>
    <m/>
    <n v="6.75"/>
    <x v="4"/>
    <m/>
  </r>
  <r>
    <x v="12"/>
    <n v="3"/>
    <n v="0.5"/>
    <x v="0"/>
    <s v="Review de l'avancement du TPI et de la suite du projet avec M. Ceran."/>
  </r>
  <r>
    <x v="12"/>
    <n v="3"/>
    <n v="0.5"/>
    <x v="3"/>
    <s v="Sécurisation de mes champs inscriptions à l'aide des &quot;Pattern&quot;."/>
  </r>
  <r>
    <x v="12"/>
    <n v="3"/>
    <n v="0.75"/>
    <x v="3"/>
    <s v="Modification dans le formulaire d'emprunt afin que lorsque il n'y ait plus de matériel disponible la catégorie ne s'affiche pas."/>
  </r>
  <r>
    <x v="12"/>
    <n v="3"/>
    <n v="1"/>
    <x v="3"/>
    <s v="Ajout de la fonctionnalité &quot;Rappel&quot; lorsque un emprunt a sa date de retour dépassée."/>
  </r>
  <r>
    <x v="12"/>
    <n v="3"/>
    <n v="0.75"/>
    <x v="8"/>
    <s v="Test de la fonctionnalité &quot;Rappel&quot; sur le site mis en ligne (SwissCenter)"/>
  </r>
  <r>
    <x v="12"/>
    <n v="3"/>
    <n v="1"/>
    <x v="3"/>
    <s v="Implémentation de la fonctionnalité &quot;Ajouter un matériel&quot;"/>
  </r>
  <r>
    <x v="12"/>
    <n v="3"/>
    <n v="0.75"/>
    <x v="3"/>
    <s v="Implémentation de la fonctionnalité &quot;Consommables&quot;"/>
  </r>
  <r>
    <x v="1"/>
    <m/>
    <n v="5.2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K18" firstHeaderRow="1" firstDataRow="2" firstDataCol="1"/>
  <pivotFields count="5">
    <pivotField axis="axisRow" numFmtId="16" showAll="0">
      <items count="16">
        <item x="0"/>
        <item x="2"/>
        <item m="1" x="13"/>
        <item x="3"/>
        <item m="1" x="14"/>
        <item x="1"/>
        <item x="4"/>
        <item x="5"/>
        <item x="6"/>
        <item x="7"/>
        <item x="8"/>
        <item x="9"/>
        <item x="10"/>
        <item x="11"/>
        <item x="12"/>
        <item t="default"/>
      </items>
    </pivotField>
    <pivotField showAll="0"/>
    <pivotField dataField="1" showAll="0"/>
    <pivotField axis="axisCol" showAll="0">
      <items count="10">
        <item x="1"/>
        <item x="3"/>
        <item x="0"/>
        <item x="2"/>
        <item x="5"/>
        <item x="4"/>
        <item x="6"/>
        <item x="7"/>
        <item x="8"/>
        <item t="default"/>
      </items>
    </pivotField>
    <pivotField showAll="0" defaultSubtotal="0"/>
  </pivotFields>
  <rowFields count="1">
    <field x="0"/>
  </rowFields>
  <rowItems count="14">
    <i>
      <x/>
    </i>
    <i>
      <x v="1"/>
    </i>
    <i>
      <x v="3"/>
    </i>
    <i>
      <x v="5"/>
    </i>
    <i>
      <x v="6"/>
    </i>
    <i>
      <x v="7"/>
    </i>
    <i>
      <x v="8"/>
    </i>
    <i>
      <x v="9"/>
    </i>
    <i>
      <x v="10"/>
    </i>
    <i>
      <x v="11"/>
    </i>
    <i>
      <x v="12"/>
    </i>
    <i>
      <x v="13"/>
    </i>
    <i>
      <x v="14"/>
    </i>
    <i t="grand">
      <x/>
    </i>
  </rowItems>
  <colFields count="1">
    <field x="3"/>
  </colFields>
  <colItems count="10">
    <i>
      <x/>
    </i>
    <i>
      <x v="1"/>
    </i>
    <i>
      <x v="2"/>
    </i>
    <i>
      <x v="3"/>
    </i>
    <i>
      <x v="4"/>
    </i>
    <i>
      <x v="5"/>
    </i>
    <i>
      <x v="6"/>
    </i>
    <i>
      <x v="7"/>
    </i>
    <i>
      <x v="8"/>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youtube.com/watch?v=rVmZXJj5lH0"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116"/>
  <sheetViews>
    <sheetView tabSelected="1" topLeftCell="A91" workbookViewId="0">
      <selection activeCell="E107" sqref="E107"/>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52" t="s">
        <v>17</v>
      </c>
      <c r="B1" s="53"/>
      <c r="C1" s="53"/>
      <c r="D1" s="53"/>
      <c r="E1" s="53"/>
      <c r="F1" s="53"/>
      <c r="G1" s="54"/>
    </row>
    <row r="2" spans="1:9" s="22" customFormat="1" ht="14.25" customHeight="1" x14ac:dyDescent="0.2">
      <c r="A2" s="55"/>
      <c r="B2" s="56"/>
      <c r="C2" s="56"/>
      <c r="D2" s="56"/>
      <c r="E2" s="56"/>
      <c r="F2" s="56"/>
      <c r="G2" s="57"/>
    </row>
    <row r="3" spans="1:9" s="22" customFormat="1" ht="25.15" customHeight="1" x14ac:dyDescent="0.2">
      <c r="A3" s="28"/>
      <c r="B3" s="29"/>
      <c r="C3" s="29"/>
      <c r="D3" s="30"/>
      <c r="E3" s="30" t="s">
        <v>15</v>
      </c>
      <c r="F3" s="31" t="s">
        <v>16</v>
      </c>
      <c r="G3" s="32" t="s">
        <v>134</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9" t="s">
        <v>21</v>
      </c>
      <c r="I7" s="15"/>
    </row>
    <row r="8" spans="1:9" x14ac:dyDescent="0.25">
      <c r="A8" s="7">
        <v>43592</v>
      </c>
      <c r="B8" s="19">
        <v>1</v>
      </c>
      <c r="C8" s="12">
        <v>0.25</v>
      </c>
      <c r="D8" s="13" t="s">
        <v>14</v>
      </c>
      <c r="E8" s="14" t="s">
        <v>25</v>
      </c>
      <c r="F8" s="14"/>
      <c r="G8" s="60"/>
      <c r="I8" s="15"/>
    </row>
    <row r="9" spans="1:9" x14ac:dyDescent="0.25">
      <c r="A9" s="7">
        <v>43592</v>
      </c>
      <c r="B9" s="19">
        <v>1</v>
      </c>
      <c r="C9" s="12">
        <v>1</v>
      </c>
      <c r="D9" s="13" t="s">
        <v>8</v>
      </c>
      <c r="E9" s="14" t="s">
        <v>24</v>
      </c>
      <c r="F9" s="14"/>
      <c r="G9" s="60"/>
      <c r="I9" s="15"/>
    </row>
    <row r="10" spans="1:9" ht="30" x14ac:dyDescent="0.25">
      <c r="A10" s="7">
        <v>43592</v>
      </c>
      <c r="B10" s="19">
        <v>1</v>
      </c>
      <c r="C10" s="12">
        <v>0.75</v>
      </c>
      <c r="D10" s="13" t="s">
        <v>18</v>
      </c>
      <c r="E10" s="14" t="s">
        <v>28</v>
      </c>
      <c r="F10" s="14"/>
      <c r="G10" s="60"/>
      <c r="I10" s="15"/>
    </row>
    <row r="11" spans="1:9" x14ac:dyDescent="0.25">
      <c r="A11" s="7">
        <v>43592</v>
      </c>
      <c r="B11" s="19">
        <v>1</v>
      </c>
      <c r="C11" s="12">
        <v>1</v>
      </c>
      <c r="D11" s="13" t="s">
        <v>6</v>
      </c>
      <c r="E11" s="14" t="s">
        <v>20</v>
      </c>
      <c r="F11" s="14"/>
      <c r="G11" s="60"/>
      <c r="I11" s="15"/>
    </row>
    <row r="12" spans="1:9" x14ac:dyDescent="0.25">
      <c r="A12" s="7">
        <v>43592</v>
      </c>
      <c r="B12" s="19">
        <v>1</v>
      </c>
      <c r="C12" s="12">
        <v>0.75</v>
      </c>
      <c r="D12" s="13" t="s">
        <v>14</v>
      </c>
      <c r="E12" s="14" t="s">
        <v>63</v>
      </c>
      <c r="F12" s="14"/>
      <c r="G12" s="60"/>
      <c r="I12" s="15"/>
    </row>
    <row r="13" spans="1:9" x14ac:dyDescent="0.25">
      <c r="A13" s="7">
        <v>43592</v>
      </c>
      <c r="B13" s="19">
        <v>1</v>
      </c>
      <c r="C13" s="12">
        <v>1.5</v>
      </c>
      <c r="D13" s="13" t="s">
        <v>8</v>
      </c>
      <c r="E13" s="14" t="s">
        <v>23</v>
      </c>
      <c r="F13" s="14"/>
      <c r="G13" s="60"/>
      <c r="I13" s="15"/>
    </row>
    <row r="14" spans="1:9" x14ac:dyDescent="0.25">
      <c r="A14" s="7">
        <v>43592</v>
      </c>
      <c r="B14" s="19">
        <v>1</v>
      </c>
      <c r="C14" s="12">
        <v>0.5</v>
      </c>
      <c r="D14" s="13" t="s">
        <v>18</v>
      </c>
      <c r="E14" s="14" t="s">
        <v>22</v>
      </c>
      <c r="F14" s="14"/>
      <c r="G14" s="60"/>
      <c r="I14" s="15"/>
    </row>
    <row r="15" spans="1:9" ht="27.75" customHeight="1" x14ac:dyDescent="0.25">
      <c r="A15" s="42" t="s">
        <v>39</v>
      </c>
      <c r="B15" s="43"/>
      <c r="C15" s="34">
        <f>SUM(C7:C14)</f>
        <v>6.5</v>
      </c>
      <c r="D15" s="35"/>
      <c r="E15" s="36"/>
      <c r="F15" s="36"/>
      <c r="G15" s="61"/>
      <c r="I15" s="15"/>
    </row>
    <row r="16" spans="1:9" ht="15" customHeight="1" x14ac:dyDescent="0.25">
      <c r="A16" s="7">
        <v>43593</v>
      </c>
      <c r="B16" s="19">
        <v>1</v>
      </c>
      <c r="C16" s="12">
        <v>0.75</v>
      </c>
      <c r="D16" s="13" t="s">
        <v>8</v>
      </c>
      <c r="E16" s="14" t="s">
        <v>64</v>
      </c>
      <c r="F16" s="14"/>
      <c r="G16" s="50" t="s">
        <v>35</v>
      </c>
      <c r="I16" s="15"/>
    </row>
    <row r="17" spans="1:9" ht="45" x14ac:dyDescent="0.25">
      <c r="A17" s="7">
        <v>43593</v>
      </c>
      <c r="B17" s="19">
        <v>1</v>
      </c>
      <c r="C17" s="12">
        <v>0.5</v>
      </c>
      <c r="D17" s="13" t="s">
        <v>6</v>
      </c>
      <c r="E17" s="14" t="s">
        <v>33</v>
      </c>
      <c r="F17" s="14" t="s">
        <v>29</v>
      </c>
      <c r="G17" s="51"/>
      <c r="I17" s="15"/>
    </row>
    <row r="18" spans="1:9" x14ac:dyDescent="0.25">
      <c r="A18" s="7">
        <v>43593</v>
      </c>
      <c r="B18" s="19">
        <v>1</v>
      </c>
      <c r="C18" s="12">
        <v>1.5</v>
      </c>
      <c r="D18" s="13" t="s">
        <v>8</v>
      </c>
      <c r="E18" s="14" t="s">
        <v>62</v>
      </c>
      <c r="F18" s="14"/>
      <c r="G18" s="51"/>
      <c r="I18" s="15"/>
    </row>
    <row r="19" spans="1:9" x14ac:dyDescent="0.25">
      <c r="A19" s="7">
        <v>43593</v>
      </c>
      <c r="B19" s="19">
        <v>1</v>
      </c>
      <c r="C19" s="12">
        <v>0.5</v>
      </c>
      <c r="D19" s="13" t="s">
        <v>27</v>
      </c>
      <c r="E19" s="14" t="s">
        <v>32</v>
      </c>
      <c r="F19" s="14"/>
      <c r="G19" s="51"/>
      <c r="I19" s="15"/>
    </row>
    <row r="20" spans="1:9" ht="30" x14ac:dyDescent="0.25">
      <c r="A20" s="7">
        <v>43593</v>
      </c>
      <c r="B20" s="19">
        <v>1</v>
      </c>
      <c r="C20" s="12">
        <v>0.25</v>
      </c>
      <c r="D20" s="13" t="s">
        <v>8</v>
      </c>
      <c r="E20" s="14" t="s">
        <v>31</v>
      </c>
      <c r="F20" s="14"/>
      <c r="G20" s="51"/>
      <c r="I20" s="15"/>
    </row>
    <row r="21" spans="1:9" x14ac:dyDescent="0.25">
      <c r="A21" s="7">
        <v>43593</v>
      </c>
      <c r="B21" s="19">
        <v>1</v>
      </c>
      <c r="C21" s="12">
        <v>0.5</v>
      </c>
      <c r="D21" s="13" t="s">
        <v>8</v>
      </c>
      <c r="E21" s="14" t="s">
        <v>30</v>
      </c>
      <c r="F21" s="14"/>
      <c r="G21" s="51"/>
      <c r="I21" s="15"/>
    </row>
    <row r="22" spans="1:9" ht="27" customHeight="1" x14ac:dyDescent="0.25">
      <c r="A22" s="42" t="s">
        <v>39</v>
      </c>
      <c r="B22" s="43"/>
      <c r="C22" s="37">
        <f>SUM(C16:C21)</f>
        <v>4</v>
      </c>
      <c r="D22" s="35"/>
      <c r="E22" s="36"/>
      <c r="F22" s="36"/>
      <c r="G22" s="58"/>
      <c r="I22" s="15"/>
    </row>
    <row r="23" spans="1:9" x14ac:dyDescent="0.25">
      <c r="A23" s="7">
        <v>43594</v>
      </c>
      <c r="B23" s="19">
        <v>1</v>
      </c>
      <c r="C23" s="12">
        <v>1</v>
      </c>
      <c r="D23" s="13" t="s">
        <v>8</v>
      </c>
      <c r="E23" s="14" t="s">
        <v>41</v>
      </c>
      <c r="F23" s="14"/>
      <c r="G23" s="47" t="s">
        <v>38</v>
      </c>
      <c r="I23" s="15"/>
    </row>
    <row r="24" spans="1:9" x14ac:dyDescent="0.25">
      <c r="A24" s="7">
        <v>43594</v>
      </c>
      <c r="B24" s="19">
        <v>1</v>
      </c>
      <c r="C24" s="12">
        <v>0.5</v>
      </c>
      <c r="D24" s="13" t="s">
        <v>18</v>
      </c>
      <c r="E24" s="14" t="s">
        <v>42</v>
      </c>
      <c r="F24" s="14"/>
      <c r="G24" s="48"/>
      <c r="I24" s="15"/>
    </row>
    <row r="25" spans="1:9" x14ac:dyDescent="0.25">
      <c r="A25" s="7">
        <v>43594</v>
      </c>
      <c r="B25" s="19">
        <v>1</v>
      </c>
      <c r="C25" s="12">
        <v>1</v>
      </c>
      <c r="D25" s="13" t="s">
        <v>36</v>
      </c>
      <c r="E25" s="14" t="s">
        <v>61</v>
      </c>
      <c r="F25" s="14"/>
      <c r="G25" s="48"/>
      <c r="I25" s="15"/>
    </row>
    <row r="26" spans="1:9" x14ac:dyDescent="0.25">
      <c r="A26" s="7">
        <v>43594</v>
      </c>
      <c r="B26" s="19">
        <v>1</v>
      </c>
      <c r="C26" s="12">
        <v>0.25</v>
      </c>
      <c r="D26" s="13" t="s">
        <v>18</v>
      </c>
      <c r="E26" s="14" t="s">
        <v>46</v>
      </c>
      <c r="F26" s="14"/>
      <c r="G26" s="48"/>
      <c r="I26" s="15"/>
    </row>
    <row r="27" spans="1:9" x14ac:dyDescent="0.25">
      <c r="A27" s="7">
        <v>43594</v>
      </c>
      <c r="B27" s="19">
        <v>1</v>
      </c>
      <c r="C27" s="12">
        <v>1</v>
      </c>
      <c r="D27" s="13" t="s">
        <v>6</v>
      </c>
      <c r="E27" s="14" t="s">
        <v>47</v>
      </c>
      <c r="F27" s="14"/>
      <c r="G27" s="48"/>
      <c r="I27" s="15"/>
    </row>
    <row r="28" spans="1:9" ht="30" x14ac:dyDescent="0.25">
      <c r="A28" s="7">
        <v>43594</v>
      </c>
      <c r="B28" s="19">
        <v>1</v>
      </c>
      <c r="C28" s="12">
        <v>0.75</v>
      </c>
      <c r="D28" s="13" t="s">
        <v>14</v>
      </c>
      <c r="E28" s="14" t="s">
        <v>48</v>
      </c>
      <c r="F28" s="14" t="s">
        <v>43</v>
      </c>
      <c r="G28" s="48"/>
      <c r="I28" s="15"/>
    </row>
    <row r="29" spans="1:9" x14ac:dyDescent="0.25">
      <c r="A29" s="7">
        <v>43594</v>
      </c>
      <c r="B29" s="19">
        <v>1</v>
      </c>
      <c r="C29" s="12">
        <v>1</v>
      </c>
      <c r="D29" s="13" t="s">
        <v>27</v>
      </c>
      <c r="E29" s="14" t="s">
        <v>37</v>
      </c>
      <c r="F29" s="14" t="s">
        <v>44</v>
      </c>
      <c r="G29" s="48"/>
      <c r="I29" s="15"/>
    </row>
    <row r="30" spans="1:9" x14ac:dyDescent="0.25">
      <c r="A30" s="7">
        <v>43594</v>
      </c>
      <c r="B30" s="19">
        <v>1</v>
      </c>
      <c r="C30" s="12">
        <v>1</v>
      </c>
      <c r="D30" s="13" t="s">
        <v>8</v>
      </c>
      <c r="E30" s="14" t="s">
        <v>49</v>
      </c>
      <c r="F30" s="14"/>
      <c r="G30" s="48"/>
      <c r="I30" s="15"/>
    </row>
    <row r="31" spans="1:9" x14ac:dyDescent="0.25">
      <c r="A31" s="7">
        <v>43594</v>
      </c>
      <c r="B31" s="19">
        <v>1</v>
      </c>
      <c r="C31" s="12">
        <v>0.25</v>
      </c>
      <c r="D31" s="13" t="s">
        <v>8</v>
      </c>
      <c r="E31" s="14" t="s">
        <v>50</v>
      </c>
      <c r="F31" s="14"/>
      <c r="G31" s="48"/>
      <c r="I31" s="15"/>
    </row>
    <row r="32" spans="1:9" ht="24" customHeight="1" x14ac:dyDescent="0.25">
      <c r="A32" s="42" t="s">
        <v>39</v>
      </c>
      <c r="B32" s="43"/>
      <c r="C32" s="37">
        <f>SUM(C23:C31)</f>
        <v>6.75</v>
      </c>
      <c r="D32" s="35"/>
      <c r="E32" s="36"/>
      <c r="F32" s="36"/>
      <c r="G32" s="48"/>
      <c r="I32" s="15"/>
    </row>
    <row r="33" spans="1:9" ht="15" customHeight="1" x14ac:dyDescent="0.25">
      <c r="A33" s="39">
        <v>43595</v>
      </c>
      <c r="B33" s="33">
        <v>1</v>
      </c>
      <c r="C33" s="38">
        <v>0.5</v>
      </c>
      <c r="D33" s="13" t="s">
        <v>8</v>
      </c>
      <c r="E33" s="14" t="s">
        <v>51</v>
      </c>
      <c r="F33" s="14"/>
      <c r="G33" s="47" t="s">
        <v>38</v>
      </c>
      <c r="I33" s="15"/>
    </row>
    <row r="34" spans="1:9" x14ac:dyDescent="0.25">
      <c r="A34" s="39">
        <v>43595</v>
      </c>
      <c r="B34" s="33">
        <v>1</v>
      </c>
      <c r="C34" s="38">
        <v>0.25</v>
      </c>
      <c r="D34" s="13" t="s">
        <v>27</v>
      </c>
      <c r="E34" s="14" t="s">
        <v>52</v>
      </c>
      <c r="F34" s="14" t="s">
        <v>45</v>
      </c>
      <c r="G34" s="48"/>
      <c r="I34" s="15"/>
    </row>
    <row r="35" spans="1:9" x14ac:dyDescent="0.25">
      <c r="A35" s="39">
        <v>43595</v>
      </c>
      <c r="B35" s="33">
        <v>1</v>
      </c>
      <c r="C35" s="38">
        <v>0.5</v>
      </c>
      <c r="D35" s="13" t="s">
        <v>8</v>
      </c>
      <c r="E35" s="14" t="s">
        <v>53</v>
      </c>
      <c r="F35" s="14"/>
      <c r="G35" s="48"/>
      <c r="I35" s="15"/>
    </row>
    <row r="36" spans="1:9" x14ac:dyDescent="0.25">
      <c r="A36" s="39">
        <v>43595</v>
      </c>
      <c r="B36" s="33">
        <v>1</v>
      </c>
      <c r="C36" s="38">
        <v>0.75</v>
      </c>
      <c r="D36" s="13" t="s">
        <v>8</v>
      </c>
      <c r="E36" s="14" t="s">
        <v>54</v>
      </c>
      <c r="F36" s="14"/>
      <c r="G36" s="48"/>
      <c r="I36" s="15"/>
    </row>
    <row r="37" spans="1:9" x14ac:dyDescent="0.25">
      <c r="A37" s="39">
        <v>43595</v>
      </c>
      <c r="B37" s="33">
        <v>1</v>
      </c>
      <c r="C37" s="38">
        <v>0.75</v>
      </c>
      <c r="D37" s="13" t="s">
        <v>8</v>
      </c>
      <c r="E37" s="14" t="s">
        <v>55</v>
      </c>
      <c r="F37" s="14"/>
      <c r="G37" s="48"/>
      <c r="I37" s="15"/>
    </row>
    <row r="38" spans="1:9" x14ac:dyDescent="0.25">
      <c r="A38" s="39">
        <v>43595</v>
      </c>
      <c r="B38" s="33">
        <v>1</v>
      </c>
      <c r="C38" s="38">
        <v>0.75</v>
      </c>
      <c r="D38" s="13" t="s">
        <v>8</v>
      </c>
      <c r="E38" s="14" t="s">
        <v>56</v>
      </c>
      <c r="F38" s="14"/>
      <c r="G38" s="48"/>
      <c r="I38" s="15"/>
    </row>
    <row r="39" spans="1:9" x14ac:dyDescent="0.25">
      <c r="A39" s="39">
        <v>43595</v>
      </c>
      <c r="B39" s="33">
        <v>1</v>
      </c>
      <c r="C39" s="38">
        <v>0.5</v>
      </c>
      <c r="D39" s="13" t="s">
        <v>8</v>
      </c>
      <c r="E39" s="14" t="s">
        <v>57</v>
      </c>
      <c r="F39" s="14"/>
      <c r="G39" s="48"/>
      <c r="I39" s="15"/>
    </row>
    <row r="40" spans="1:9" x14ac:dyDescent="0.25">
      <c r="A40" s="39">
        <v>43595</v>
      </c>
      <c r="B40" s="33">
        <v>1</v>
      </c>
      <c r="C40" s="38">
        <v>0.5</v>
      </c>
      <c r="D40" s="13" t="s">
        <v>8</v>
      </c>
      <c r="E40" s="14" t="s">
        <v>58</v>
      </c>
      <c r="F40" s="14"/>
      <c r="G40" s="48"/>
      <c r="I40" s="15"/>
    </row>
    <row r="41" spans="1:9" x14ac:dyDescent="0.25">
      <c r="A41" s="39">
        <v>43595</v>
      </c>
      <c r="B41" s="33">
        <v>1</v>
      </c>
      <c r="C41" s="38">
        <v>0.25</v>
      </c>
      <c r="D41" s="13" t="s">
        <v>18</v>
      </c>
      <c r="E41" s="14" t="s">
        <v>42</v>
      </c>
      <c r="F41" s="14"/>
      <c r="G41" s="48"/>
      <c r="I41" s="15"/>
    </row>
    <row r="42" spans="1:9" x14ac:dyDescent="0.25">
      <c r="A42" s="39">
        <v>43595</v>
      </c>
      <c r="B42" s="33">
        <v>1</v>
      </c>
      <c r="C42" s="38">
        <v>0.25</v>
      </c>
      <c r="D42" s="13" t="s">
        <v>8</v>
      </c>
      <c r="E42" s="14" t="s">
        <v>59</v>
      </c>
      <c r="F42" s="14"/>
      <c r="G42" s="48"/>
      <c r="I42" s="15"/>
    </row>
    <row r="43" spans="1:9" x14ac:dyDescent="0.25">
      <c r="A43" s="39">
        <v>43595</v>
      </c>
      <c r="B43" s="33">
        <v>1</v>
      </c>
      <c r="C43" s="38">
        <v>0.25</v>
      </c>
      <c r="D43" s="13" t="s">
        <v>8</v>
      </c>
      <c r="E43" s="14" t="s">
        <v>60</v>
      </c>
      <c r="F43" s="14"/>
      <c r="G43" s="48"/>
      <c r="I43" s="15"/>
    </row>
    <row r="44" spans="1:9" ht="25.5" customHeight="1" x14ac:dyDescent="0.25">
      <c r="A44" s="42" t="s">
        <v>39</v>
      </c>
      <c r="B44" s="43"/>
      <c r="C44" s="37">
        <f>SUM(C33:C43)</f>
        <v>5.25</v>
      </c>
      <c r="D44" s="35"/>
      <c r="E44" s="36"/>
      <c r="F44" s="36"/>
      <c r="G44" s="48"/>
      <c r="I44" s="15"/>
    </row>
    <row r="45" spans="1:9" ht="30" customHeight="1" x14ac:dyDescent="0.25">
      <c r="A45" s="39">
        <v>43599</v>
      </c>
      <c r="B45" s="33">
        <v>2</v>
      </c>
      <c r="C45" s="38">
        <v>1</v>
      </c>
      <c r="D45" s="13" t="s">
        <v>14</v>
      </c>
      <c r="E45" s="14" t="s">
        <v>67</v>
      </c>
      <c r="F45" s="14"/>
      <c r="G45" s="47" t="s">
        <v>65</v>
      </c>
      <c r="I45" s="15"/>
    </row>
    <row r="46" spans="1:9" x14ac:dyDescent="0.25">
      <c r="A46" s="39">
        <v>43599</v>
      </c>
      <c r="B46" s="33">
        <v>2</v>
      </c>
      <c r="C46" s="38">
        <v>0.5</v>
      </c>
      <c r="D46" s="13" t="s">
        <v>8</v>
      </c>
      <c r="E46" s="14" t="s">
        <v>68</v>
      </c>
      <c r="F46" s="14"/>
      <c r="G46" s="48"/>
      <c r="I46" s="15"/>
    </row>
    <row r="47" spans="1:9" x14ac:dyDescent="0.25">
      <c r="A47" s="39">
        <v>43599</v>
      </c>
      <c r="B47" s="33">
        <v>2</v>
      </c>
      <c r="C47" s="38">
        <v>0.5</v>
      </c>
      <c r="D47" s="13" t="s">
        <v>8</v>
      </c>
      <c r="E47" s="14" t="s">
        <v>69</v>
      </c>
      <c r="F47" s="14"/>
      <c r="G47" s="48"/>
      <c r="I47" s="15"/>
    </row>
    <row r="48" spans="1:9" x14ac:dyDescent="0.25">
      <c r="A48" s="39">
        <v>43599</v>
      </c>
      <c r="B48" s="33">
        <v>2</v>
      </c>
      <c r="C48" s="38">
        <v>1</v>
      </c>
      <c r="D48" s="13" t="s">
        <v>8</v>
      </c>
      <c r="E48" s="14" t="s">
        <v>70</v>
      </c>
      <c r="F48" s="14"/>
      <c r="G48" s="48"/>
      <c r="I48" s="15"/>
    </row>
    <row r="49" spans="1:9" x14ac:dyDescent="0.25">
      <c r="A49" s="39">
        <v>43599</v>
      </c>
      <c r="B49" s="33">
        <v>2</v>
      </c>
      <c r="C49" s="38">
        <v>1</v>
      </c>
      <c r="D49" s="13" t="s">
        <v>8</v>
      </c>
      <c r="E49" s="14" t="s">
        <v>71</v>
      </c>
      <c r="F49" s="14"/>
      <c r="G49" s="48"/>
      <c r="I49" s="15"/>
    </row>
    <row r="50" spans="1:9" x14ac:dyDescent="0.25">
      <c r="A50" s="39">
        <v>43599</v>
      </c>
      <c r="B50" s="33">
        <v>2</v>
      </c>
      <c r="C50" s="38">
        <v>0.5</v>
      </c>
      <c r="D50" s="13" t="s">
        <v>40</v>
      </c>
      <c r="E50" s="14" t="s">
        <v>72</v>
      </c>
      <c r="F50" s="14"/>
      <c r="G50" s="48"/>
      <c r="I50" s="15"/>
    </row>
    <row r="51" spans="1:9" x14ac:dyDescent="0.25">
      <c r="A51" s="39">
        <v>43599</v>
      </c>
      <c r="B51" s="33">
        <v>2</v>
      </c>
      <c r="C51" s="38">
        <v>0.25</v>
      </c>
      <c r="D51" s="13" t="s">
        <v>40</v>
      </c>
      <c r="E51" s="14" t="s">
        <v>75</v>
      </c>
      <c r="F51" s="14" t="s">
        <v>73</v>
      </c>
      <c r="G51" s="48"/>
      <c r="I51" s="15"/>
    </row>
    <row r="52" spans="1:9" x14ac:dyDescent="0.25">
      <c r="A52" s="39">
        <v>43599</v>
      </c>
      <c r="B52" s="33">
        <v>2</v>
      </c>
      <c r="C52" s="38">
        <v>0.5</v>
      </c>
      <c r="D52" s="13" t="s">
        <v>14</v>
      </c>
      <c r="E52" s="14" t="s">
        <v>76</v>
      </c>
      <c r="F52" s="14"/>
      <c r="G52" s="48"/>
      <c r="I52" s="15"/>
    </row>
    <row r="53" spans="1:9" x14ac:dyDescent="0.25">
      <c r="A53" s="39">
        <v>43599</v>
      </c>
      <c r="B53" s="33">
        <v>2</v>
      </c>
      <c r="C53" s="38">
        <v>1</v>
      </c>
      <c r="D53" s="13" t="s">
        <v>36</v>
      </c>
      <c r="E53" s="14" t="s">
        <v>77</v>
      </c>
      <c r="F53" s="14" t="s">
        <v>74</v>
      </c>
      <c r="G53" s="48"/>
      <c r="I53" s="15"/>
    </row>
    <row r="54" spans="1:9" x14ac:dyDescent="0.25">
      <c r="A54" s="39">
        <v>43599</v>
      </c>
      <c r="B54" s="33">
        <v>2</v>
      </c>
      <c r="C54" s="38">
        <v>0.5</v>
      </c>
      <c r="D54" s="13" t="s">
        <v>36</v>
      </c>
      <c r="E54" s="14" t="s">
        <v>78</v>
      </c>
      <c r="F54" s="14" t="s">
        <v>74</v>
      </c>
      <c r="G54" s="48"/>
      <c r="I54" s="15"/>
    </row>
    <row r="55" spans="1:9" x14ac:dyDescent="0.25">
      <c r="A55" s="42" t="s">
        <v>39</v>
      </c>
      <c r="B55" s="43"/>
      <c r="C55" s="37">
        <f>SUM(C45:C54)</f>
        <v>6.75</v>
      </c>
      <c r="D55" s="35"/>
      <c r="E55" s="36"/>
      <c r="F55" s="36"/>
      <c r="G55" s="48"/>
      <c r="I55" s="15"/>
    </row>
    <row r="56" spans="1:9" ht="30" x14ac:dyDescent="0.25">
      <c r="A56" s="39">
        <v>43600</v>
      </c>
      <c r="B56" s="33">
        <v>2</v>
      </c>
      <c r="C56" s="38">
        <v>0.5</v>
      </c>
      <c r="D56" s="13" t="s">
        <v>8</v>
      </c>
      <c r="E56" s="14" t="s">
        <v>82</v>
      </c>
      <c r="F56" s="14"/>
      <c r="G56" s="47" t="s">
        <v>66</v>
      </c>
      <c r="I56" s="15"/>
    </row>
    <row r="57" spans="1:9" x14ac:dyDescent="0.25">
      <c r="A57" s="39">
        <v>43600</v>
      </c>
      <c r="B57" s="33">
        <v>2</v>
      </c>
      <c r="C57" s="38">
        <v>1.5</v>
      </c>
      <c r="D57" s="13" t="s">
        <v>36</v>
      </c>
      <c r="E57" s="14" t="s">
        <v>81</v>
      </c>
      <c r="F57" s="14"/>
      <c r="G57" s="48"/>
      <c r="I57" s="15"/>
    </row>
    <row r="58" spans="1:9" x14ac:dyDescent="0.25">
      <c r="A58" s="39">
        <v>43600</v>
      </c>
      <c r="B58" s="33">
        <v>2</v>
      </c>
      <c r="C58" s="38">
        <v>0.5</v>
      </c>
      <c r="D58" s="13" t="s">
        <v>14</v>
      </c>
      <c r="E58" s="14" t="s">
        <v>80</v>
      </c>
      <c r="F58" s="14"/>
      <c r="G58" s="48"/>
      <c r="I58" s="15"/>
    </row>
    <row r="59" spans="1:9" x14ac:dyDescent="0.25">
      <c r="A59" s="39">
        <v>43600</v>
      </c>
      <c r="B59" s="33">
        <v>2</v>
      </c>
      <c r="C59" s="38">
        <v>1.5</v>
      </c>
      <c r="D59" s="13" t="s">
        <v>36</v>
      </c>
      <c r="E59" s="14" t="s">
        <v>79</v>
      </c>
      <c r="F59" s="14"/>
      <c r="G59" s="48"/>
      <c r="I59" s="15"/>
    </row>
    <row r="60" spans="1:9" x14ac:dyDescent="0.25">
      <c r="A60" s="42" t="s">
        <v>39</v>
      </c>
      <c r="B60" s="43"/>
      <c r="C60" s="37">
        <f>SUM(C56:C59)</f>
        <v>4</v>
      </c>
      <c r="D60" s="35"/>
      <c r="E60" s="36"/>
      <c r="F60" s="36"/>
      <c r="G60" s="49"/>
      <c r="I60" s="15"/>
    </row>
    <row r="61" spans="1:9" ht="15" customHeight="1" x14ac:dyDescent="0.25">
      <c r="A61" s="39">
        <v>43601</v>
      </c>
      <c r="B61" s="33">
        <v>2</v>
      </c>
      <c r="C61" s="38">
        <v>0.25</v>
      </c>
      <c r="D61" s="13" t="s">
        <v>8</v>
      </c>
      <c r="E61" s="14" t="s">
        <v>87</v>
      </c>
      <c r="F61" s="14"/>
      <c r="G61" s="50" t="s">
        <v>92</v>
      </c>
      <c r="I61" s="15"/>
    </row>
    <row r="62" spans="1:9" ht="30" x14ac:dyDescent="0.25">
      <c r="A62" s="39">
        <v>43601</v>
      </c>
      <c r="B62" s="33">
        <v>2</v>
      </c>
      <c r="C62" s="38">
        <v>1</v>
      </c>
      <c r="D62" s="13" t="s">
        <v>8</v>
      </c>
      <c r="E62" s="14" t="s">
        <v>86</v>
      </c>
      <c r="F62" s="14"/>
      <c r="G62" s="51"/>
      <c r="I62" s="15"/>
    </row>
    <row r="63" spans="1:9" ht="30" x14ac:dyDescent="0.25">
      <c r="A63" s="39">
        <v>43601</v>
      </c>
      <c r="B63" s="33">
        <v>2</v>
      </c>
      <c r="C63" s="38">
        <v>0.5</v>
      </c>
      <c r="D63" s="13" t="s">
        <v>36</v>
      </c>
      <c r="E63" s="14" t="s">
        <v>88</v>
      </c>
      <c r="F63" s="14" t="s">
        <v>83</v>
      </c>
      <c r="G63" s="51"/>
      <c r="I63" s="15"/>
    </row>
    <row r="64" spans="1:9" ht="30" x14ac:dyDescent="0.25">
      <c r="A64" s="39">
        <v>43601</v>
      </c>
      <c r="B64" s="33">
        <v>2</v>
      </c>
      <c r="C64" s="38">
        <v>1.5</v>
      </c>
      <c r="D64" s="13" t="s">
        <v>6</v>
      </c>
      <c r="E64" s="14" t="s">
        <v>89</v>
      </c>
      <c r="F64" s="14" t="s">
        <v>84</v>
      </c>
      <c r="G64" s="51"/>
      <c r="I64" s="15"/>
    </row>
    <row r="65" spans="1:9" x14ac:dyDescent="0.25">
      <c r="A65" s="39">
        <v>43601</v>
      </c>
      <c r="B65" s="33">
        <v>2</v>
      </c>
      <c r="C65" s="38">
        <v>1.5</v>
      </c>
      <c r="D65" s="13" t="s">
        <v>6</v>
      </c>
      <c r="E65" s="14" t="s">
        <v>90</v>
      </c>
      <c r="F65" s="14"/>
      <c r="G65" s="51"/>
      <c r="I65" s="15"/>
    </row>
    <row r="66" spans="1:9" ht="45" x14ac:dyDescent="0.25">
      <c r="A66" s="39">
        <v>43601</v>
      </c>
      <c r="B66" s="33">
        <v>2</v>
      </c>
      <c r="C66" s="38">
        <v>1</v>
      </c>
      <c r="D66" s="13" t="s">
        <v>6</v>
      </c>
      <c r="E66" s="14" t="s">
        <v>91</v>
      </c>
      <c r="F66" s="14" t="s">
        <v>85</v>
      </c>
      <c r="G66" s="51"/>
      <c r="I66" s="15"/>
    </row>
    <row r="67" spans="1:9" x14ac:dyDescent="0.25">
      <c r="A67" s="39">
        <v>43601</v>
      </c>
      <c r="B67" s="33">
        <v>2</v>
      </c>
      <c r="C67" s="38">
        <v>1</v>
      </c>
      <c r="D67" s="13" t="s">
        <v>36</v>
      </c>
      <c r="E67" s="14" t="s">
        <v>93</v>
      </c>
      <c r="F67" s="14"/>
      <c r="G67" s="51"/>
      <c r="I67" s="15"/>
    </row>
    <row r="68" spans="1:9" x14ac:dyDescent="0.25">
      <c r="A68" s="42" t="s">
        <v>39</v>
      </c>
      <c r="B68" s="43"/>
      <c r="C68" s="37">
        <f>SUM(C61:C67)</f>
        <v>6.75</v>
      </c>
      <c r="D68" s="35"/>
      <c r="E68" s="36"/>
      <c r="F68" s="36"/>
      <c r="G68" s="51"/>
      <c r="I68" s="15"/>
    </row>
    <row r="69" spans="1:9" ht="60" x14ac:dyDescent="0.25">
      <c r="A69" s="39">
        <v>43602</v>
      </c>
      <c r="B69" s="33">
        <v>2</v>
      </c>
      <c r="C69" s="38">
        <v>1.5</v>
      </c>
      <c r="D69" s="13" t="s">
        <v>6</v>
      </c>
      <c r="E69" s="14" t="s">
        <v>94</v>
      </c>
      <c r="F69" s="14" t="s">
        <v>102</v>
      </c>
      <c r="G69" s="50" t="s">
        <v>98</v>
      </c>
      <c r="I69" s="15"/>
    </row>
    <row r="70" spans="1:9" x14ac:dyDescent="0.25">
      <c r="A70" s="39">
        <v>43602</v>
      </c>
      <c r="B70" s="33">
        <v>2</v>
      </c>
      <c r="C70" s="38">
        <v>0.5</v>
      </c>
      <c r="D70" s="13" t="s">
        <v>36</v>
      </c>
      <c r="E70" s="14" t="s">
        <v>95</v>
      </c>
      <c r="F70" s="14"/>
      <c r="G70" s="51"/>
      <c r="I70" s="15"/>
    </row>
    <row r="71" spans="1:9" x14ac:dyDescent="0.25">
      <c r="A71" s="39">
        <v>43602</v>
      </c>
      <c r="B71" s="33">
        <v>2</v>
      </c>
      <c r="C71" s="38">
        <v>1.25</v>
      </c>
      <c r="D71" s="13" t="s">
        <v>6</v>
      </c>
      <c r="E71" s="14" t="s">
        <v>96</v>
      </c>
      <c r="F71" s="14"/>
      <c r="G71" s="51"/>
      <c r="I71" s="15"/>
    </row>
    <row r="72" spans="1:9" x14ac:dyDescent="0.25">
      <c r="A72" s="39">
        <v>43602</v>
      </c>
      <c r="B72" s="33">
        <v>2</v>
      </c>
      <c r="C72" s="38">
        <v>0.5</v>
      </c>
      <c r="D72" s="13" t="s">
        <v>8</v>
      </c>
      <c r="E72" s="14" t="s">
        <v>100</v>
      </c>
      <c r="F72" s="14"/>
      <c r="G72" s="51"/>
      <c r="I72" s="15"/>
    </row>
    <row r="73" spans="1:9" ht="60" x14ac:dyDescent="0.25">
      <c r="A73" s="39">
        <v>43602</v>
      </c>
      <c r="B73" s="33">
        <v>2</v>
      </c>
      <c r="C73" s="38">
        <v>0.75</v>
      </c>
      <c r="D73" s="13" t="s">
        <v>6</v>
      </c>
      <c r="E73" s="14" t="s">
        <v>99</v>
      </c>
      <c r="F73" s="14" t="s">
        <v>97</v>
      </c>
      <c r="G73" s="51"/>
      <c r="I73" s="15"/>
    </row>
    <row r="74" spans="1:9" x14ac:dyDescent="0.25">
      <c r="A74" s="39">
        <v>43602</v>
      </c>
      <c r="B74" s="33">
        <v>2</v>
      </c>
      <c r="C74" s="38">
        <v>0.5</v>
      </c>
      <c r="D74" s="13" t="s">
        <v>6</v>
      </c>
      <c r="E74" s="14" t="s">
        <v>101</v>
      </c>
      <c r="F74" s="14"/>
      <c r="G74" s="51"/>
      <c r="I74" s="15"/>
    </row>
    <row r="75" spans="1:9" x14ac:dyDescent="0.25">
      <c r="A75" s="39">
        <v>43602</v>
      </c>
      <c r="B75" s="33">
        <v>2</v>
      </c>
      <c r="C75" s="38">
        <v>0.25</v>
      </c>
      <c r="D75" s="13" t="s">
        <v>6</v>
      </c>
      <c r="E75" s="14" t="s">
        <v>109</v>
      </c>
      <c r="F75" s="14"/>
      <c r="G75" s="51"/>
      <c r="I75" s="15"/>
    </row>
    <row r="76" spans="1:9" x14ac:dyDescent="0.25">
      <c r="A76" s="42" t="s">
        <v>39</v>
      </c>
      <c r="B76" s="43"/>
      <c r="C76" s="37">
        <f>SUM(C69:C75)</f>
        <v>5.25</v>
      </c>
      <c r="D76" s="35"/>
      <c r="E76" s="36"/>
      <c r="F76" s="36"/>
      <c r="G76" s="51"/>
      <c r="I76" s="15"/>
    </row>
    <row r="77" spans="1:9" ht="45" x14ac:dyDescent="0.25">
      <c r="A77" s="39">
        <v>43606</v>
      </c>
      <c r="B77" s="33">
        <v>3</v>
      </c>
      <c r="C77" s="38">
        <v>2</v>
      </c>
      <c r="D77" s="13" t="s">
        <v>6</v>
      </c>
      <c r="E77" s="14" t="s">
        <v>103</v>
      </c>
      <c r="F77" s="14" t="s">
        <v>104</v>
      </c>
      <c r="G77" s="47" t="s">
        <v>111</v>
      </c>
      <c r="I77" s="15"/>
    </row>
    <row r="78" spans="1:9" x14ac:dyDescent="0.25">
      <c r="A78" s="39">
        <v>43606</v>
      </c>
      <c r="B78" s="33">
        <v>3</v>
      </c>
      <c r="C78" s="38">
        <v>1.5</v>
      </c>
      <c r="D78" s="13" t="s">
        <v>6</v>
      </c>
      <c r="E78" s="14" t="s">
        <v>108</v>
      </c>
      <c r="F78" s="14"/>
      <c r="G78" s="48"/>
      <c r="I78" s="15"/>
    </row>
    <row r="79" spans="1:9" ht="30" x14ac:dyDescent="0.25">
      <c r="A79" s="39">
        <v>43606</v>
      </c>
      <c r="B79" s="33">
        <v>3</v>
      </c>
      <c r="C79" s="38">
        <v>1.25</v>
      </c>
      <c r="D79" s="13" t="s">
        <v>6</v>
      </c>
      <c r="E79" s="14" t="s">
        <v>105</v>
      </c>
      <c r="F79" s="14" t="s">
        <v>106</v>
      </c>
      <c r="G79" s="48"/>
      <c r="I79" s="15"/>
    </row>
    <row r="80" spans="1:9" x14ac:dyDescent="0.25">
      <c r="A80" s="39">
        <v>43606</v>
      </c>
      <c r="B80" s="33">
        <v>3</v>
      </c>
      <c r="C80" s="38">
        <v>0.5</v>
      </c>
      <c r="D80" s="13" t="s">
        <v>6</v>
      </c>
      <c r="E80" s="14" t="s">
        <v>107</v>
      </c>
      <c r="F80" s="14"/>
      <c r="G80" s="48"/>
      <c r="I80" s="15"/>
    </row>
    <row r="81" spans="1:9" x14ac:dyDescent="0.25">
      <c r="A81" s="39">
        <v>43606</v>
      </c>
      <c r="B81" s="33">
        <v>3</v>
      </c>
      <c r="C81" s="38">
        <v>0.75</v>
      </c>
      <c r="D81" s="13" t="s">
        <v>6</v>
      </c>
      <c r="E81" s="14" t="s">
        <v>110</v>
      </c>
      <c r="F81" s="14"/>
      <c r="G81" s="48"/>
      <c r="I81" s="15"/>
    </row>
    <row r="82" spans="1:9" ht="30" x14ac:dyDescent="0.25">
      <c r="A82" s="39">
        <v>43606</v>
      </c>
      <c r="B82" s="33">
        <v>3</v>
      </c>
      <c r="C82" s="38">
        <v>0.75</v>
      </c>
      <c r="D82" s="13" t="s">
        <v>36</v>
      </c>
      <c r="E82" s="14" t="s">
        <v>112</v>
      </c>
      <c r="F82" s="14"/>
      <c r="G82" s="48"/>
      <c r="I82" s="15"/>
    </row>
    <row r="83" spans="1:9" x14ac:dyDescent="0.25">
      <c r="A83" s="42" t="s">
        <v>39</v>
      </c>
      <c r="B83" s="43"/>
      <c r="C83" s="37">
        <f>SUM(C77:C82)</f>
        <v>6.75</v>
      </c>
      <c r="D83" s="35"/>
      <c r="E83" s="36"/>
      <c r="F83" s="36"/>
      <c r="G83" s="49"/>
      <c r="I83" s="15"/>
    </row>
    <row r="84" spans="1:9" x14ac:dyDescent="0.25">
      <c r="A84" s="39">
        <v>43607</v>
      </c>
      <c r="B84" s="33">
        <v>3</v>
      </c>
      <c r="C84" s="38">
        <v>1.5</v>
      </c>
      <c r="D84" s="13" t="s">
        <v>14</v>
      </c>
      <c r="E84" s="14" t="s">
        <v>116</v>
      </c>
      <c r="F84" s="14"/>
      <c r="G84" s="47" t="s">
        <v>113</v>
      </c>
      <c r="I84" s="15"/>
    </row>
    <row r="85" spans="1:9" x14ac:dyDescent="0.25">
      <c r="A85" s="39">
        <v>43607</v>
      </c>
      <c r="B85" s="33">
        <v>3</v>
      </c>
      <c r="C85" s="38">
        <v>1.5</v>
      </c>
      <c r="D85" s="13" t="s">
        <v>36</v>
      </c>
      <c r="E85" s="14" t="s">
        <v>115</v>
      </c>
      <c r="F85" s="14"/>
      <c r="G85" s="48"/>
      <c r="I85" s="15"/>
    </row>
    <row r="86" spans="1:9" x14ac:dyDescent="0.25">
      <c r="A86" s="39">
        <v>43607</v>
      </c>
      <c r="B86" s="33">
        <v>3</v>
      </c>
      <c r="C86" s="38">
        <v>1</v>
      </c>
      <c r="D86" s="13" t="s">
        <v>6</v>
      </c>
      <c r="E86" s="14" t="s">
        <v>114</v>
      </c>
      <c r="F86" s="14"/>
      <c r="G86" s="48"/>
      <c r="I86" s="15"/>
    </row>
    <row r="87" spans="1:9" x14ac:dyDescent="0.25">
      <c r="A87" s="42" t="s">
        <v>39</v>
      </c>
      <c r="B87" s="43"/>
      <c r="C87" s="37">
        <f>SUM(C84:C86)</f>
        <v>4</v>
      </c>
      <c r="D87" s="35"/>
      <c r="E87" s="36"/>
      <c r="F87" s="36"/>
      <c r="G87" s="49"/>
      <c r="I87" s="15"/>
    </row>
    <row r="88" spans="1:9" ht="30" x14ac:dyDescent="0.25">
      <c r="A88" s="39">
        <v>43608</v>
      </c>
      <c r="B88" s="33">
        <v>3</v>
      </c>
      <c r="C88" s="38">
        <v>1.5</v>
      </c>
      <c r="D88" s="13" t="s">
        <v>8</v>
      </c>
      <c r="E88" s="14" t="s">
        <v>123</v>
      </c>
      <c r="F88" s="14"/>
      <c r="G88" s="47" t="s">
        <v>124</v>
      </c>
      <c r="I88" s="15"/>
    </row>
    <row r="89" spans="1:9" ht="45" x14ac:dyDescent="0.25">
      <c r="A89" s="39">
        <v>43608</v>
      </c>
      <c r="B89" s="33">
        <v>3</v>
      </c>
      <c r="C89" s="38">
        <v>2</v>
      </c>
      <c r="D89" s="13" t="s">
        <v>6</v>
      </c>
      <c r="E89" s="14" t="s">
        <v>122</v>
      </c>
      <c r="F89" s="14" t="s">
        <v>126</v>
      </c>
      <c r="G89" s="48"/>
      <c r="I89" s="15"/>
    </row>
    <row r="90" spans="1:9" x14ac:dyDescent="0.25">
      <c r="A90" s="39">
        <v>43608</v>
      </c>
      <c r="B90" s="33">
        <v>3</v>
      </c>
      <c r="C90" s="38">
        <v>0.25</v>
      </c>
      <c r="D90" s="13" t="s">
        <v>18</v>
      </c>
      <c r="E90" s="14" t="s">
        <v>121</v>
      </c>
      <c r="F90" s="14"/>
      <c r="G90" s="48"/>
      <c r="I90" s="15"/>
    </row>
    <row r="91" spans="1:9" x14ac:dyDescent="0.25">
      <c r="A91" s="39">
        <v>43608</v>
      </c>
      <c r="B91" s="33">
        <v>3</v>
      </c>
      <c r="C91" s="38">
        <v>0.75</v>
      </c>
      <c r="D91" s="13" t="s">
        <v>8</v>
      </c>
      <c r="E91" s="14" t="s">
        <v>120</v>
      </c>
      <c r="F91" s="14"/>
      <c r="G91" s="48"/>
      <c r="I91" s="15"/>
    </row>
    <row r="92" spans="1:9" x14ac:dyDescent="0.25">
      <c r="A92" s="39">
        <v>43608</v>
      </c>
      <c r="B92" s="33">
        <v>3</v>
      </c>
      <c r="C92" s="38">
        <v>0.5</v>
      </c>
      <c r="D92" s="13" t="s">
        <v>8</v>
      </c>
      <c r="E92" s="14" t="s">
        <v>119</v>
      </c>
      <c r="F92" s="14" t="s">
        <v>125</v>
      </c>
      <c r="G92" s="48"/>
      <c r="I92" s="15"/>
    </row>
    <row r="93" spans="1:9" x14ac:dyDescent="0.25">
      <c r="A93" s="39">
        <v>43608</v>
      </c>
      <c r="B93" s="33">
        <v>3</v>
      </c>
      <c r="C93" s="38">
        <v>1</v>
      </c>
      <c r="D93" s="13" t="s">
        <v>6</v>
      </c>
      <c r="E93" s="14" t="s">
        <v>118</v>
      </c>
      <c r="F93" s="14"/>
      <c r="G93" s="48"/>
      <c r="I93" s="15"/>
    </row>
    <row r="94" spans="1:9" x14ac:dyDescent="0.25">
      <c r="A94" s="39">
        <v>43608</v>
      </c>
      <c r="B94" s="33">
        <v>3</v>
      </c>
      <c r="C94" s="38">
        <v>0.75</v>
      </c>
      <c r="D94" s="13" t="s">
        <v>6</v>
      </c>
      <c r="E94" s="14" t="s">
        <v>117</v>
      </c>
      <c r="F94" s="14"/>
      <c r="G94" s="48"/>
      <c r="I94" s="15"/>
    </row>
    <row r="95" spans="1:9" x14ac:dyDescent="0.25">
      <c r="A95" s="42" t="s">
        <v>39</v>
      </c>
      <c r="B95" s="43"/>
      <c r="C95" s="37">
        <f>SUM(C88:C94)</f>
        <v>6.75</v>
      </c>
      <c r="D95" s="35"/>
      <c r="E95" s="36"/>
      <c r="F95" s="36"/>
      <c r="G95" s="49"/>
      <c r="I95" s="15"/>
    </row>
    <row r="96" spans="1:9" x14ac:dyDescent="0.25">
      <c r="A96" s="39">
        <v>43609</v>
      </c>
      <c r="B96" s="33">
        <v>3</v>
      </c>
      <c r="C96" s="38">
        <v>0.5</v>
      </c>
      <c r="D96" s="13" t="s">
        <v>14</v>
      </c>
      <c r="E96" s="14" t="s">
        <v>127</v>
      </c>
      <c r="F96" s="14"/>
      <c r="G96" s="44" t="s">
        <v>124</v>
      </c>
      <c r="I96" s="15"/>
    </row>
    <row r="97" spans="1:9" x14ac:dyDescent="0.25">
      <c r="A97" s="39">
        <v>43609</v>
      </c>
      <c r="B97" s="33">
        <v>3</v>
      </c>
      <c r="C97" s="38">
        <v>0.5</v>
      </c>
      <c r="D97" s="13" t="s">
        <v>6</v>
      </c>
      <c r="E97" s="14" t="s">
        <v>129</v>
      </c>
      <c r="F97" s="14"/>
      <c r="G97" s="45"/>
      <c r="I97" s="15"/>
    </row>
    <row r="98" spans="1:9" ht="30" x14ac:dyDescent="0.25">
      <c r="A98" s="39">
        <v>43609</v>
      </c>
      <c r="B98" s="33">
        <v>3</v>
      </c>
      <c r="C98" s="38">
        <v>0.75</v>
      </c>
      <c r="D98" s="13" t="s">
        <v>6</v>
      </c>
      <c r="E98" s="14" t="s">
        <v>128</v>
      </c>
      <c r="F98" s="14"/>
      <c r="G98" s="45"/>
      <c r="I98" s="15"/>
    </row>
    <row r="99" spans="1:9" x14ac:dyDescent="0.25">
      <c r="A99" s="39">
        <v>43609</v>
      </c>
      <c r="B99" s="33">
        <v>3</v>
      </c>
      <c r="C99" s="38">
        <v>1</v>
      </c>
      <c r="D99" s="13" t="s">
        <v>6</v>
      </c>
      <c r="E99" s="14" t="s">
        <v>130</v>
      </c>
      <c r="F99" s="14"/>
      <c r="G99" s="45"/>
      <c r="I99" s="15"/>
    </row>
    <row r="100" spans="1:9" x14ac:dyDescent="0.25">
      <c r="A100" s="39">
        <v>43609</v>
      </c>
      <c r="B100" s="33">
        <v>3</v>
      </c>
      <c r="C100" s="38">
        <v>0.75</v>
      </c>
      <c r="D100" s="13" t="s">
        <v>7</v>
      </c>
      <c r="E100" s="14" t="s">
        <v>131</v>
      </c>
      <c r="F100" s="14"/>
      <c r="G100" s="45"/>
      <c r="I100" s="15"/>
    </row>
    <row r="101" spans="1:9" x14ac:dyDescent="0.25">
      <c r="A101" s="39">
        <v>43609</v>
      </c>
      <c r="B101" s="33">
        <v>3</v>
      </c>
      <c r="C101" s="38">
        <v>1</v>
      </c>
      <c r="D101" s="13" t="s">
        <v>6</v>
      </c>
      <c r="E101" s="14" t="s">
        <v>132</v>
      </c>
      <c r="F101" s="14"/>
      <c r="G101" s="45"/>
      <c r="I101" s="15"/>
    </row>
    <row r="102" spans="1:9" x14ac:dyDescent="0.25">
      <c r="A102" s="39">
        <v>43609</v>
      </c>
      <c r="B102" s="33">
        <v>3</v>
      </c>
      <c r="C102" s="38">
        <v>0.75</v>
      </c>
      <c r="D102" s="13" t="s">
        <v>6</v>
      </c>
      <c r="E102" s="14" t="s">
        <v>133</v>
      </c>
      <c r="F102" s="14"/>
      <c r="G102" s="45"/>
      <c r="I102" s="15"/>
    </row>
    <row r="103" spans="1:9" x14ac:dyDescent="0.25">
      <c r="A103" s="42" t="s">
        <v>39</v>
      </c>
      <c r="B103" s="43"/>
      <c r="C103" s="37">
        <f>SUM(C96:C102)</f>
        <v>5.25</v>
      </c>
      <c r="D103" s="35"/>
      <c r="E103" s="36"/>
      <c r="F103" s="36"/>
      <c r="G103" s="46"/>
      <c r="I103" s="15"/>
    </row>
    <row r="104" spans="1:9" x14ac:dyDescent="0.25">
      <c r="A104" s="39">
        <v>43613</v>
      </c>
      <c r="B104" s="33">
        <v>4</v>
      </c>
      <c r="C104" s="38">
        <v>0.5</v>
      </c>
      <c r="D104" s="13" t="s">
        <v>6</v>
      </c>
      <c r="E104" s="14" t="s">
        <v>135</v>
      </c>
      <c r="F104" s="14"/>
      <c r="G104" s="40"/>
      <c r="I104" s="15"/>
    </row>
    <row r="105" spans="1:9" ht="45" x14ac:dyDescent="0.25">
      <c r="A105" s="39">
        <v>43613</v>
      </c>
      <c r="B105" s="33">
        <v>4</v>
      </c>
      <c r="C105" s="38">
        <v>0.25</v>
      </c>
      <c r="D105" s="13" t="s">
        <v>36</v>
      </c>
      <c r="E105" s="14" t="s">
        <v>136</v>
      </c>
      <c r="F105" s="14" t="s">
        <v>137</v>
      </c>
      <c r="G105" s="40"/>
      <c r="I105" s="15"/>
    </row>
    <row r="106" spans="1:9" x14ac:dyDescent="0.25">
      <c r="A106" s="39">
        <v>43613</v>
      </c>
      <c r="B106" s="33">
        <v>4</v>
      </c>
      <c r="C106" s="38">
        <v>0.15</v>
      </c>
      <c r="D106" s="13" t="s">
        <v>27</v>
      </c>
      <c r="E106" s="14" t="s">
        <v>139</v>
      </c>
      <c r="F106" s="62" t="s">
        <v>140</v>
      </c>
      <c r="G106" s="40"/>
      <c r="I106" s="15"/>
    </row>
    <row r="107" spans="1:9" ht="45" x14ac:dyDescent="0.25">
      <c r="A107" s="39">
        <v>43613</v>
      </c>
      <c r="B107" s="33">
        <v>4</v>
      </c>
      <c r="C107" s="38">
        <v>1</v>
      </c>
      <c r="D107" s="13" t="s">
        <v>6</v>
      </c>
      <c r="E107" s="14" t="s">
        <v>138</v>
      </c>
      <c r="F107" s="14" t="s">
        <v>141</v>
      </c>
      <c r="G107" s="40"/>
      <c r="I107" s="15"/>
    </row>
    <row r="108" spans="1:9" ht="45" x14ac:dyDescent="0.25">
      <c r="A108" s="39">
        <v>43613</v>
      </c>
      <c r="B108" s="33">
        <v>4</v>
      </c>
      <c r="C108" s="38">
        <v>2</v>
      </c>
      <c r="D108" s="13" t="s">
        <v>6</v>
      </c>
      <c r="E108" s="14" t="s">
        <v>142</v>
      </c>
      <c r="F108" s="14" t="s">
        <v>143</v>
      </c>
      <c r="G108" s="40"/>
      <c r="I108" s="15"/>
    </row>
    <row r="109" spans="1:9" ht="45" x14ac:dyDescent="0.25">
      <c r="A109" s="39">
        <v>43613</v>
      </c>
      <c r="B109" s="33">
        <v>4</v>
      </c>
      <c r="C109" s="38">
        <v>2</v>
      </c>
      <c r="D109" s="13" t="s">
        <v>6</v>
      </c>
      <c r="E109" s="14" t="s">
        <v>144</v>
      </c>
      <c r="F109" s="14" t="s">
        <v>145</v>
      </c>
      <c r="G109" s="40"/>
      <c r="I109" s="15"/>
    </row>
    <row r="110" spans="1:9" ht="30" x14ac:dyDescent="0.25">
      <c r="A110" s="39">
        <v>43613</v>
      </c>
      <c r="B110" s="33">
        <v>4</v>
      </c>
      <c r="C110" s="38">
        <v>0.5</v>
      </c>
      <c r="D110" s="13" t="s">
        <v>6</v>
      </c>
      <c r="E110" s="14" t="s">
        <v>146</v>
      </c>
      <c r="F110" s="14" t="s">
        <v>147</v>
      </c>
      <c r="G110" s="40"/>
      <c r="I110" s="15"/>
    </row>
    <row r="111" spans="1:9" x14ac:dyDescent="0.25">
      <c r="A111" s="39"/>
      <c r="B111" s="33"/>
      <c r="C111" s="38"/>
      <c r="D111" s="13"/>
      <c r="E111" s="14"/>
      <c r="F111" s="14"/>
      <c r="G111" s="40"/>
      <c r="I111" s="15"/>
    </row>
    <row r="112" spans="1:9" ht="22.5" customHeight="1" x14ac:dyDescent="0.25">
      <c r="A112" s="42" t="s">
        <v>39</v>
      </c>
      <c r="B112" s="43"/>
      <c r="C112" s="37">
        <f>SUM(C104:C110)</f>
        <v>6.4</v>
      </c>
      <c r="D112" s="35"/>
      <c r="E112" s="36"/>
      <c r="F112" s="36"/>
      <c r="G112" s="41"/>
      <c r="I112" s="15"/>
    </row>
    <row r="113" spans="1:9" x14ac:dyDescent="0.25">
      <c r="A113" s="11"/>
      <c r="B113" s="11"/>
      <c r="C113" s="11"/>
      <c r="D113" s="11"/>
      <c r="E113" s="11"/>
      <c r="F113" s="11"/>
      <c r="G113"/>
      <c r="I113" s="15"/>
    </row>
    <row r="114" spans="1:9" ht="15" customHeight="1" x14ac:dyDescent="0.25">
      <c r="A114" s="23"/>
      <c r="B114" s="24"/>
      <c r="C114" s="25"/>
      <c r="D114" s="26"/>
      <c r="E114" s="27"/>
      <c r="F114" s="27"/>
      <c r="G114"/>
      <c r="I114" s="15"/>
    </row>
    <row r="115" spans="1:9" x14ac:dyDescent="0.25">
      <c r="A115" s="23"/>
      <c r="B115" s="24"/>
      <c r="C115" s="25"/>
      <c r="D115" s="26"/>
      <c r="E115" s="27"/>
      <c r="F115" s="27"/>
      <c r="G115" s="27"/>
    </row>
    <row r="116" spans="1:9" x14ac:dyDescent="0.25">
      <c r="A116" s="21"/>
    </row>
  </sheetData>
  <sheetProtection selectLockedCells="1"/>
  <mergeCells count="26">
    <mergeCell ref="A112:B112"/>
    <mergeCell ref="A32:B32"/>
    <mergeCell ref="A44:B44"/>
    <mergeCell ref="G33:G44"/>
    <mergeCell ref="A55:B55"/>
    <mergeCell ref="G45:G55"/>
    <mergeCell ref="A60:B60"/>
    <mergeCell ref="G56:G60"/>
    <mergeCell ref="A76:B76"/>
    <mergeCell ref="G69:G76"/>
    <mergeCell ref="A83:B83"/>
    <mergeCell ref="G77:G83"/>
    <mergeCell ref="A87:B87"/>
    <mergeCell ref="G84:G87"/>
    <mergeCell ref="A68:B68"/>
    <mergeCell ref="G23:G32"/>
    <mergeCell ref="A1:G2"/>
    <mergeCell ref="G16:G22"/>
    <mergeCell ref="G7:G15"/>
    <mergeCell ref="A15:B15"/>
    <mergeCell ref="A22:B22"/>
    <mergeCell ref="A103:B103"/>
    <mergeCell ref="G96:G103"/>
    <mergeCell ref="A95:B95"/>
    <mergeCell ref="G88:G95"/>
    <mergeCell ref="G61:G68"/>
  </mergeCells>
  <dataValidations count="1">
    <dataValidation type="list" showInputMessage="1" showErrorMessage="1" sqref="D114:D115">
      <formula1>$A$2:$A$15</formula1>
    </dataValidation>
  </dataValidations>
  <hyperlinks>
    <hyperlink ref="F106" r:id="rId1"/>
  </hyperlinks>
  <pageMargins left="0.70866141732283472" right="0.70866141732283472" top="0.74803149606299213" bottom="0.74803149606299213" header="0.31496062992125984" footer="0.31496062992125984"/>
  <pageSetup paperSize="8" scale="75"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D7:D112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K18"/>
  <sheetViews>
    <sheetView workbookViewId="0">
      <selection activeCell="C36" sqref="C36"/>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5.5703125" bestFit="1" customWidth="1"/>
    <col min="11" max="11" width="12.5703125" bestFit="1" customWidth="1"/>
    <col min="12" max="12" width="22" bestFit="1" customWidth="1"/>
    <col min="13" max="13" width="17.7109375" bestFit="1" customWidth="1"/>
  </cols>
  <sheetData>
    <row r="3" spans="1:11" x14ac:dyDescent="0.25">
      <c r="A3" s="4" t="s">
        <v>12</v>
      </c>
    </row>
    <row r="4" spans="1:11" x14ac:dyDescent="0.25">
      <c r="B4" t="s">
        <v>8</v>
      </c>
      <c r="C4" t="s">
        <v>6</v>
      </c>
      <c r="D4" t="s">
        <v>14</v>
      </c>
      <c r="E4" t="s">
        <v>18</v>
      </c>
      <c r="F4" t="s">
        <v>27</v>
      </c>
      <c r="G4" t="s">
        <v>34</v>
      </c>
      <c r="H4" t="s">
        <v>36</v>
      </c>
      <c r="I4" t="s">
        <v>40</v>
      </c>
      <c r="J4" t="s">
        <v>7</v>
      </c>
      <c r="K4" t="s">
        <v>10</v>
      </c>
    </row>
    <row r="5" spans="1:11" x14ac:dyDescent="0.25">
      <c r="A5" s="5">
        <v>43592</v>
      </c>
      <c r="B5" s="3">
        <v>2.5</v>
      </c>
      <c r="C5" s="3">
        <v>1</v>
      </c>
      <c r="D5" s="3">
        <v>1.75</v>
      </c>
      <c r="E5" s="3">
        <v>1.25</v>
      </c>
      <c r="F5" s="3"/>
      <c r="G5" s="3"/>
      <c r="H5" s="3"/>
      <c r="I5" s="3"/>
      <c r="J5" s="3"/>
      <c r="K5" s="3">
        <v>6.5</v>
      </c>
    </row>
    <row r="6" spans="1:11" x14ac:dyDescent="0.25">
      <c r="A6" s="5">
        <v>43593</v>
      </c>
      <c r="B6" s="3">
        <v>3</v>
      </c>
      <c r="C6" s="3">
        <v>0.5</v>
      </c>
      <c r="D6" s="3"/>
      <c r="E6" s="3"/>
      <c r="F6" s="3">
        <v>0.5</v>
      </c>
      <c r="G6" s="3"/>
      <c r="H6" s="3"/>
      <c r="I6" s="3"/>
      <c r="J6" s="3"/>
      <c r="K6" s="3">
        <v>4</v>
      </c>
    </row>
    <row r="7" spans="1:11" x14ac:dyDescent="0.25">
      <c r="A7" s="5">
        <v>43594</v>
      </c>
      <c r="B7" s="3">
        <v>2.25</v>
      </c>
      <c r="C7" s="3">
        <v>1</v>
      </c>
      <c r="D7" s="3">
        <v>0.75</v>
      </c>
      <c r="E7" s="3">
        <v>0.75</v>
      </c>
      <c r="F7" s="3">
        <v>1</v>
      </c>
      <c r="G7" s="3"/>
      <c r="H7" s="3">
        <v>1</v>
      </c>
      <c r="I7" s="3"/>
      <c r="J7" s="3"/>
      <c r="K7" s="3">
        <v>6.75</v>
      </c>
    </row>
    <row r="8" spans="1:11" x14ac:dyDescent="0.25">
      <c r="A8" s="5" t="s">
        <v>39</v>
      </c>
      <c r="B8" s="3"/>
      <c r="C8" s="3"/>
      <c r="D8" s="3"/>
      <c r="E8" s="3"/>
      <c r="F8" s="3"/>
      <c r="G8" s="3">
        <v>68</v>
      </c>
      <c r="H8" s="3"/>
      <c r="I8" s="3"/>
      <c r="J8" s="3"/>
      <c r="K8" s="3">
        <v>68</v>
      </c>
    </row>
    <row r="9" spans="1:11" x14ac:dyDescent="0.25">
      <c r="A9" s="5">
        <v>43595</v>
      </c>
      <c r="B9" s="3">
        <v>4.75</v>
      </c>
      <c r="C9" s="3"/>
      <c r="D9" s="3"/>
      <c r="E9" s="3">
        <v>0.25</v>
      </c>
      <c r="F9" s="3">
        <v>0.25</v>
      </c>
      <c r="G9" s="3"/>
      <c r="H9" s="3"/>
      <c r="I9" s="3"/>
      <c r="J9" s="3"/>
      <c r="K9" s="3">
        <v>5.25</v>
      </c>
    </row>
    <row r="10" spans="1:11" x14ac:dyDescent="0.25">
      <c r="A10" s="5">
        <v>43599</v>
      </c>
      <c r="B10" s="3">
        <v>3</v>
      </c>
      <c r="C10" s="3"/>
      <c r="D10" s="3">
        <v>1.5</v>
      </c>
      <c r="E10" s="3"/>
      <c r="F10" s="3"/>
      <c r="G10" s="3"/>
      <c r="H10" s="3">
        <v>1.5</v>
      </c>
      <c r="I10" s="3">
        <v>0.75</v>
      </c>
      <c r="J10" s="3"/>
      <c r="K10" s="3">
        <v>6.75</v>
      </c>
    </row>
    <row r="11" spans="1:11" x14ac:dyDescent="0.25">
      <c r="A11" s="5">
        <v>43600</v>
      </c>
      <c r="B11" s="3">
        <v>0.5</v>
      </c>
      <c r="C11" s="3"/>
      <c r="D11" s="3">
        <v>0.5</v>
      </c>
      <c r="E11" s="3"/>
      <c r="F11" s="3"/>
      <c r="G11" s="3"/>
      <c r="H11" s="3">
        <v>3</v>
      </c>
      <c r="I11" s="3"/>
      <c r="J11" s="3"/>
      <c r="K11" s="3">
        <v>4</v>
      </c>
    </row>
    <row r="12" spans="1:11" x14ac:dyDescent="0.25">
      <c r="A12" s="5">
        <v>43601</v>
      </c>
      <c r="B12" s="3">
        <v>1.25</v>
      </c>
      <c r="C12" s="3">
        <v>4</v>
      </c>
      <c r="D12" s="3"/>
      <c r="E12" s="3"/>
      <c r="F12" s="3"/>
      <c r="G12" s="3"/>
      <c r="H12" s="3">
        <v>1.5</v>
      </c>
      <c r="I12" s="3"/>
      <c r="J12" s="3"/>
      <c r="K12" s="3">
        <v>6.75</v>
      </c>
    </row>
    <row r="13" spans="1:11" x14ac:dyDescent="0.25">
      <c r="A13" s="5">
        <v>43602</v>
      </c>
      <c r="B13" s="3">
        <v>0.5</v>
      </c>
      <c r="C13" s="3">
        <v>4.25</v>
      </c>
      <c r="D13" s="3"/>
      <c r="E13" s="3"/>
      <c r="F13" s="3"/>
      <c r="G13" s="3"/>
      <c r="H13" s="3">
        <v>0.5</v>
      </c>
      <c r="I13" s="3"/>
      <c r="J13" s="3"/>
      <c r="K13" s="3">
        <v>5.25</v>
      </c>
    </row>
    <row r="14" spans="1:11" x14ac:dyDescent="0.25">
      <c r="A14" s="5">
        <v>43606</v>
      </c>
      <c r="B14" s="3"/>
      <c r="C14" s="3">
        <v>6</v>
      </c>
      <c r="D14" s="3"/>
      <c r="E14" s="3"/>
      <c r="F14" s="3"/>
      <c r="G14" s="3"/>
      <c r="H14" s="3">
        <v>0.75</v>
      </c>
      <c r="I14" s="3"/>
      <c r="J14" s="3"/>
      <c r="K14" s="3">
        <v>6.75</v>
      </c>
    </row>
    <row r="15" spans="1:11" x14ac:dyDescent="0.25">
      <c r="A15" s="5">
        <v>43607</v>
      </c>
      <c r="B15" s="3"/>
      <c r="C15" s="3">
        <v>1</v>
      </c>
      <c r="D15" s="3">
        <v>1.5</v>
      </c>
      <c r="E15" s="3"/>
      <c r="F15" s="3"/>
      <c r="G15" s="3"/>
      <c r="H15" s="3">
        <v>1.5</v>
      </c>
      <c r="I15" s="3"/>
      <c r="J15" s="3"/>
      <c r="K15" s="3">
        <v>4</v>
      </c>
    </row>
    <row r="16" spans="1:11" x14ac:dyDescent="0.25">
      <c r="A16" s="5">
        <v>43608</v>
      </c>
      <c r="B16" s="3">
        <v>2.75</v>
      </c>
      <c r="C16" s="3">
        <v>3.75</v>
      </c>
      <c r="D16" s="3"/>
      <c r="E16" s="3">
        <v>0.25</v>
      </c>
      <c r="F16" s="3"/>
      <c r="G16" s="3"/>
      <c r="H16" s="3"/>
      <c r="I16" s="3"/>
      <c r="J16" s="3"/>
      <c r="K16" s="3">
        <v>6.75</v>
      </c>
    </row>
    <row r="17" spans="1:11" x14ac:dyDescent="0.25">
      <c r="A17" s="5">
        <v>43609</v>
      </c>
      <c r="B17" s="3"/>
      <c r="C17" s="3">
        <v>4</v>
      </c>
      <c r="D17" s="3">
        <v>0.5</v>
      </c>
      <c r="E17" s="3"/>
      <c r="F17" s="3"/>
      <c r="G17" s="3"/>
      <c r="H17" s="3"/>
      <c r="I17" s="3"/>
      <c r="J17" s="3">
        <v>0.75</v>
      </c>
      <c r="K17" s="3">
        <v>5.25</v>
      </c>
    </row>
    <row r="18" spans="1:11" x14ac:dyDescent="0.25">
      <c r="A18" s="5" t="s">
        <v>10</v>
      </c>
      <c r="B18" s="3">
        <v>20.5</v>
      </c>
      <c r="C18" s="3">
        <v>25.5</v>
      </c>
      <c r="D18" s="3">
        <v>6.5</v>
      </c>
      <c r="E18" s="3">
        <v>2.5</v>
      </c>
      <c r="F18" s="3">
        <v>1.75</v>
      </c>
      <c r="G18" s="3">
        <v>68</v>
      </c>
      <c r="H18" s="3">
        <v>9.75</v>
      </c>
      <c r="I18" s="3">
        <v>0.75</v>
      </c>
      <c r="J18" s="3">
        <v>0.75</v>
      </c>
      <c r="K18" s="3">
        <v>136</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2019-05-28T14:29:02Z</dcterms:modified>
</cp:coreProperties>
</file>